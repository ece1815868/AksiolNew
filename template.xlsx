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29040" windowHeight="16440"/>
  </bookViews>
  <sheets>
    <sheet name="ΣΤΟΙΧΕΙΑ ΕΠΙΧΕΙΡΗΣΗΣ" sheetId="15" r:id="rId1"/>
    <sheet name="Συχνότητα Ελέγχων Αρχικής Αξιολ" sheetId="17" r:id="rId2"/>
    <sheet name="Β1 ΤΥΠΟΣ ΠΛΗΡΟΤΗΤΑΣ" sheetId="1" r:id="rId3"/>
    <sheet name="B2 ΡΥΘΜΟΣ ΑΝΑΠΤΥΞΗΣ ΠΥΡΚΑΓΙΑΣ" sheetId="2" r:id="rId4"/>
    <sheet name="Δ1 ΕΓΓΕΝΗΣ ΑΞΙΟΛΟΓΗΣΗ" sheetId="3" r:id="rId5"/>
    <sheet name="B3 ΠΛΗΘΟΣ ΧΡΗΣΤΩΝ" sheetId="4" r:id="rId6"/>
    <sheet name="Β4 ΚΤΙΡΙΑΚΗ ΠΟΛΥΠΛΟΚΟΤΗΤΑ" sheetId="5" r:id="rId7"/>
    <sheet name="Β5 ΜΕΤΑΔΟΣΗ ΠΥΡΚΑΓΙΑΣ" sheetId="6" r:id="rId8"/>
    <sheet name="Δ2 ΑΡΧΙΚΗ ΑΞΙΟΛΟΓΗΣΗ" sheetId="7" r:id="rId9"/>
    <sheet name="Γ1 ΑΠΟΤΕΛΕΣΜΑ ΕΛΕΓΧΟΥ" sheetId="8" r:id="rId10"/>
    <sheet name="Γ2 ΙΣΤΟΡΙΚΟ ΣΥΜΜΟΡΦΩΣΗΣ" sheetId="9" r:id="rId11"/>
    <sheet name="Δ3 ΤΕΛΙΚΟ ΕΠΙΠΕΔΟ ΧΩΡΙΣ ΙΣΤΟΡΙΚ" sheetId="10" r:id="rId12"/>
    <sheet name="Δ3 ΤΕΛΙΚΟ ΕΠΙΠΕΔΟ ΜΕ ΙΣΤΟΡΙΚΟ" sheetId="11" r:id="rId13"/>
    <sheet name="Συχνότητα Ελέγχων Τελικής Αξιολ" sheetId="13" r:id="rId14"/>
  </sheets>
  <definedNames>
    <definedName name="APOT_ELEG">'ΣΤΟΙΧΕΙΑ ΕΠΙΧΕΙΡΗΣΗΣ'!$A$103:$F$106</definedName>
    <definedName name="APOTELEG">'ΣΤΟΙΧΕΙΑ ΕΠΙΧΕΙΡΗΣΗΣ'!$A$103:$F$106</definedName>
    <definedName name="ASS">'ΣΤΟΙΧΕΙΑ ΕΠΙΧΕΙΡΗΣΗΣ'!$A$103:$A$106</definedName>
    <definedName name="ISTORIKO_SYM">'ΣΤΟΙΧΕΙΑ ΕΠΙΧΕΙΡΗΣΗΣ'!$A$114:$A$117</definedName>
    <definedName name="ktiriaki_pol">'ΣΤΟΙΧΕΙΑ ΕΠΙΧΕΙΡΗΣΗΣ'!$A$63:$A$66</definedName>
    <definedName name="metadosi">'ΣΤΟΙΧΕΙΑ ΕΠΙΧΕΙΡΗΣΗΣ'!$A$73:$A$76</definedName>
    <definedName name="PLITHOS">'ΣΤΟΙΧΕΙΑ ΕΠΙΧΕΙΡΗΣΗΣ'!$A$53:$A$57</definedName>
    <definedName name="Table1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6" i="15"/>
  <c r="A146"/>
  <c r="G29" l="1"/>
  <c r="E143" l="1"/>
  <c r="G108"/>
  <c r="G119"/>
  <c r="G78"/>
  <c r="G68"/>
  <c r="G59" l="1"/>
  <c r="G38"/>
  <c r="B8" i="9"/>
  <c r="A3" i="10" s="1"/>
  <c r="B8" i="8"/>
  <c r="C7" i="6"/>
  <c r="C7" i="5"/>
  <c r="C8" i="4"/>
  <c r="C10" i="1"/>
  <c r="D8" i="2"/>
  <c r="A3" i="7" l="1"/>
  <c r="B6" s="1"/>
  <c r="A8" i="17" s="1"/>
  <c r="B8" s="1"/>
  <c r="A3" i="3"/>
  <c r="D6" s="1"/>
  <c r="A3" i="11"/>
  <c r="B7" s="1"/>
  <c r="A8" i="13" s="1"/>
  <c r="B8" s="1"/>
  <c r="A83" i="15"/>
  <c r="A43"/>
  <c r="E46" s="1"/>
  <c r="B7" i="10"/>
  <c r="C6" i="3" l="1"/>
  <c r="G46" i="15"/>
  <c r="A124" s="1"/>
  <c r="G127" s="1"/>
  <c r="A139" s="1"/>
  <c r="E139" s="1"/>
  <c r="F86" l="1"/>
  <c r="A97" l="1"/>
  <c r="E97" s="1"/>
</calcChain>
</file>

<file path=xl/sharedStrings.xml><?xml version="1.0" encoding="utf-8"?>
<sst xmlns="http://schemas.openxmlformats.org/spreadsheetml/2006/main" count="365" uniqueCount="145">
  <si>
    <t>Τύπος Πληρότητας</t>
  </si>
  <si>
    <t>Κατηγορία Πληρότητας</t>
  </si>
  <si>
    <t>Εγρήγορση/Οικειότητα/Κινητικότητα Χρηστών</t>
  </si>
  <si>
    <t>Βαθμός</t>
  </si>
  <si>
    <t>Α</t>
  </si>
  <si>
    <t>Β</t>
  </si>
  <si>
    <t>Γ</t>
  </si>
  <si>
    <t>Δ</t>
  </si>
  <si>
    <t>Ε</t>
  </si>
  <si>
    <t>ΣΤ</t>
  </si>
  <si>
    <t>Χρήστες που δεν κοιμούνται/Εξοικιωμένοι</t>
  </si>
  <si>
    <t>Χρήστες που κοιμούνται/Εξοικειωμένοι</t>
  </si>
  <si>
    <t>Χρήστες που δεν κοιμούνται/Εξοικειωμένοι/Περιορισμένης κινητικότητας-Ευαίσθητες ομάδες</t>
  </si>
  <si>
    <t>Χρήστες που κοιμούνται/Εξοικειωμένοι/Περιορισμένης κινητικότητας-Ευαίσθητες ομάδες</t>
  </si>
  <si>
    <t>Κατηγορία Τύπου Πληρότητας της αξιολογούμενης εγκατάστασης</t>
  </si>
  <si>
    <t>Κατηγορία Ρυθμού</t>
  </si>
  <si>
    <t>Ρυθμός Ανάπτυξης</t>
  </si>
  <si>
    <t>Περιγραφή</t>
  </si>
  <si>
    <t>Αργός</t>
  </si>
  <si>
    <t>Μεσαίος</t>
  </si>
  <si>
    <t>Ταχύς</t>
  </si>
  <si>
    <t>Υπερταχύς</t>
  </si>
  <si>
    <t>Χαμηλό πυροθερμικό φορτίο ομοιόμορφα κατανεμημένο,μικρές διακριτές ποσότητες καυσίμων ή υλικών περιορισμένης καυστότητας (όπως μηχανήματα, συσκευές, μεταλλικά αντικείμενα, δομικά υλικά), που συμβάλλουν αμελητέα στην ανάπτυξη πυρκαγιάς.</t>
  </si>
  <si>
    <t>Χρήστες που δεν κοιμούνται/Μη εξοικειωμένοι</t>
  </si>
  <si>
    <t>Ρυθμός Ανάπτυξης Πυρκαγιάς</t>
  </si>
  <si>
    <t>Χαμηλό εώς Μέτριο πυροθερμικό φορτίο ομοιόμορφα κατανεμημένο, αποτελούμενο από διάφορα είδη καυστών υλικών (όπως κουτιά από χαρτόνια, ξύλινες παλέτες, βιβλία σε ράφια, ξύλινα έπιπλα, οχήματα), που συμβάλλουν στην ανάπτυξη πυρκαγιάς.</t>
  </si>
  <si>
    <t>Μεσαίες ποσότητες συσσωρευμένων καυστών υλικών σε ράφια ή χωρίς ( όπως πλαστικών , συνθετικών υφασμάτων,ηλεκτρικών και ηλεκτρονικών συσκευών),που συμβάλλουν ταχεία στην ανάπτυξη πυρκαγιάς.</t>
  </si>
  <si>
    <t>Μεσαίες έως μεγάλες ποσότητες καυστών υλικών, πολυμερή κυτταρίνης, διογκωμένα πολυμερή, εύφλεκτα υγρά και αέρια, όπου μπορεί να εμφανιστεί ταχεία ανεξέλεγκτη ανάπτυξη πυρκαγιάς</t>
  </si>
  <si>
    <t>Συνολική Βαθμολογία Εγγενών Κριτηρίων της εγκατάστασης (Β1 + Β2)</t>
  </si>
  <si>
    <t>Επίπεδο Εγγενούς Επικινδυνότητας</t>
  </si>
  <si>
    <t>Αξιολόγηση Κινδύνου 2ου Επιπέδου</t>
  </si>
  <si>
    <t>0-8</t>
  </si>
  <si>
    <t>19-28</t>
  </si>
  <si>
    <t>9-18</t>
  </si>
  <si>
    <t>Χαμηλό</t>
  </si>
  <si>
    <t>Μεσαίο</t>
  </si>
  <si>
    <t>Υψηλό</t>
  </si>
  <si>
    <t>Επίπεδο Εγγενούς Επικινδυνότητας και απαίτηση για αξιολόγηση 2ου βαθμού</t>
  </si>
  <si>
    <t>ΝΑΙ</t>
  </si>
  <si>
    <t>ΑΞΙΟΛΟΓΗΣΗ ΚΙΝΔΥΝΟΥ 1ου ΕΠΙΠΕΔΟΥ</t>
  </si>
  <si>
    <t>Πλήθος Χρηστών</t>
  </si>
  <si>
    <t>Κατηγορία</t>
  </si>
  <si>
    <t>Μικρό</t>
  </si>
  <si>
    <t>Μεγάλο</t>
  </si>
  <si>
    <t>Πολύ Μεγάλο</t>
  </si>
  <si>
    <t>Πλήθος δυνητικών χρηστών</t>
  </si>
  <si>
    <t>Εώς 50 άτομα</t>
  </si>
  <si>
    <t>Από 51 έως 200 άτομα</t>
  </si>
  <si>
    <t>Από 201 έως 500 άτομα</t>
  </si>
  <si>
    <t xml:space="preserve">Από 501 και πάνω </t>
  </si>
  <si>
    <t>Χαμηλή</t>
  </si>
  <si>
    <t>Υψηλή</t>
  </si>
  <si>
    <t>Κτίριο με απλή διαρρύθμιση, καλή οπτική πρόσβαση, κατάλληλα σχεδιασμένη και με μικρή απόσταση από όδευση διαφυγής, καλό επίπεδο παροχής εξόδου με τελικές εξόδους που οδηγούν απευθείας στο εξωτερικό του κτιρίου</t>
  </si>
  <si>
    <t>Κτίριο πολλαπλών πυροδιαμερισμάτων, με τα περισσότερα χαρακτηριστικά του σχεδιασμένα μη σύνθετα και πολύπλοκα με αποτέλεσμα η διαχείριση της εκκένωσης να μην παρουσιάζει ιδιαίτερες απαιτήσεις.</t>
  </si>
  <si>
    <t>Μεγάλο σύνθετο κτίριο όπως μεγάλα κτιριακά συγκροτήματα( κτίρια πολλαπλών χρήσεων, νοσοκομεία, εμπορικά κέντρα, αεροδρόμια, κλπ.) με σύνθετη και πολύπλοκη εσωτερική διαρρύθμιση με αποτέλεσμα η διαχείριση της εκκένωσης να παρουσιάζει ιδιαίτερες απαιτήσεις.</t>
  </si>
  <si>
    <t>Μεσαία</t>
  </si>
  <si>
    <t>Μικρός</t>
  </si>
  <si>
    <t>Κίνδυνος μετάδοσης</t>
  </si>
  <si>
    <t>Μέτριος</t>
  </si>
  <si>
    <t>Μεγάλος</t>
  </si>
  <si>
    <t>Παράμετρος Μετάδοσης</t>
  </si>
  <si>
    <t>Απόσταση από γειτονικά κτίρια μεγαλύτερη των 15μ, ή μεγαλύτερη από το διπλάσιο ύψος του κτιρίου</t>
  </si>
  <si>
    <t>(1) Απόσταση από γειτονικά κτίρια μικρότερη των 15μ ή μικρότερη από το διπλάσιο ύψος τους κτιρίου. (2) Η εγκατάσταση καταλαμβάνει μέρος του κτιρίου.</t>
  </si>
  <si>
    <t>Αποθήκευση / επεξεργασία / παραγωγή μεγάλων ποσοτήτων επικίνδυνων , εύφλεκτων, εκρηκτικών υλών.</t>
  </si>
  <si>
    <t>Κατηγορία Πλήθους Χρηστών της αξιολογούμενης εγκατάστασης</t>
  </si>
  <si>
    <t>Κατηγορία Κτιριακής Πολυπλοκότητας της αξιολογούμενης εγκατάστασης</t>
  </si>
  <si>
    <t>Κατηγορία Μετάδοσης πυρκαγιάς της αξιολογούμενης εγκατάστασης</t>
  </si>
  <si>
    <t>Συνολική Βαθμολογία Εγγενών και Ειδικών Κριτηρίων της εγκατάστασης (Β1 + Β2 + Β3 + Β4 + Β5)</t>
  </si>
  <si>
    <t>0-14</t>
  </si>
  <si>
    <t>15-30</t>
  </si>
  <si>
    <t>31-46</t>
  </si>
  <si>
    <t>Κατηγορία Επικινδυνότητας</t>
  </si>
  <si>
    <t>Κατάταξη Αξιολογούμενης Εγκατάστασης Σε Αρχικό Επίπεδο Επικινδυνότητας</t>
  </si>
  <si>
    <t>Αποτέλεσμα Ελέγχου</t>
  </si>
  <si>
    <t>ΑΞΙΟΛΟΓΗΣΗ ΚΙΝΔΥΝΟΥ 2ου ΕΠΙΠΕΔΟΥ</t>
  </si>
  <si>
    <t>Μετάδοση πυρκαγίας</t>
  </si>
  <si>
    <t>Κτηριακή πολυπλοκότητα</t>
  </si>
  <si>
    <t>Ιστορικό Συμμόρφωσης</t>
  </si>
  <si>
    <t>Πλήρης Συμμόρφωση</t>
  </si>
  <si>
    <t>Μερική Συμμόρφωση</t>
  </si>
  <si>
    <t>Χαμηλή Συμμόρφωση</t>
  </si>
  <si>
    <t>Κατηγορία Επικινδυνότητας της αξιολογούμενης εγκατάστασης</t>
  </si>
  <si>
    <t>Ιστορικό Συμμόρφωσης της αξιολογούμενης εγκατάστασης</t>
  </si>
  <si>
    <t>Συνολική Βαθμολογία(Β1 + Β2 + Β3 + Β4 + Β5 + Β6 + Β7)</t>
  </si>
  <si>
    <t>ΑΞΙΟΛΟΓΗΣΗ ΚΙΝΔΥΝΟΥ 3ου ΕΠΙΠΕΔΟΥ</t>
  </si>
  <si>
    <t>Ορια συνολικής Βαθμολογίας κριτηρίων</t>
  </si>
  <si>
    <t>0-21</t>
  </si>
  <si>
    <t>22-43</t>
  </si>
  <si>
    <t>44-64</t>
  </si>
  <si>
    <t>0-19</t>
  </si>
  <si>
    <t>20-39</t>
  </si>
  <si>
    <t>40-58</t>
  </si>
  <si>
    <t>Τελικό επίπεδο επικνδυνότητας</t>
  </si>
  <si>
    <t>Κατάταξη Αξιολογούμενης Εγκατάστασης Σε Τελικό Επίπεδο Επικινδυνότητας</t>
  </si>
  <si>
    <t>Ορια συνολικής Βαθμολογίας κριτηρίων ( Χωρίς Ιστορικό Συμμόρφωσης)</t>
  </si>
  <si>
    <t>Συνολική Βαθμολογία(Β1 + Β2 + Β3 + Β4 + Β5 + Β6)</t>
  </si>
  <si>
    <t>Βαθμός (Β5)</t>
  </si>
  <si>
    <t>Βαθμός (Β6)</t>
  </si>
  <si>
    <t>Βαθμός (Β7)</t>
  </si>
  <si>
    <t>Βαθμός (Β4)</t>
  </si>
  <si>
    <t>Βαθμός (Β3)</t>
  </si>
  <si>
    <t>Βαθμός (Β2)</t>
  </si>
  <si>
    <t>Βαθμός (Β1)</t>
  </si>
  <si>
    <t>Συχνότητα ελέγχων</t>
  </si>
  <si>
    <t>Δεν πραγματοποιούνται έλεγχοι.</t>
  </si>
  <si>
    <t>Κάθε 36 μήνες</t>
  </si>
  <si>
    <t>Κάθε 12 μήνες</t>
  </si>
  <si>
    <t>Καθορισμός Συχνότητας τακτικών ελέγχων της εγκατάστασης</t>
  </si>
  <si>
    <t>Συχνότητα Ελέγχων</t>
  </si>
  <si>
    <t>Έντυπο Αξιολόγησης – Κατάταξης σε κατηγορία επικινδυνότητας – Καθορισμός συχνότητας ελέγχων</t>
  </si>
  <si>
    <t xml:space="preserve">ΑΡΧΗΓΕΙΟ ΠΥΡΟΣΒΕΣΤΙΚΟΥ </t>
  </si>
  <si>
    <t>Α/Α Αξιολόγησης:</t>
  </si>
  <si>
    <t>Ημερομηνία:</t>
  </si>
  <si>
    <t>ΣΩΜΑΤΟΣ</t>
  </si>
  <si>
    <t>ΣΤΟΙΧΕΙΑ ΕΠΙΧΕΙΡΗΣΗΣ / ΕΓΚΑΤΑΣΤΑΣΗΣ / ΟΙΚΟΝΟΜΙΚΗΣ ΔΡΑΣΤΗΡΙΟΤΗΤΑΣ</t>
  </si>
  <si>
    <t>ΕΠΩΝΥΜΙΑ ΕΠΙΧΕΙΡΗΣΗΣ :</t>
  </si>
  <si>
    <t>ΥΠΕΥΘΥΝΟΣ ΕΠΙΧΕΙΡΗΣΗΣ :</t>
  </si>
  <si>
    <t>ΕΙΔΟΣ ΔΡΑΣΤΗΡΙΟΤΗΤΑΣ :</t>
  </si>
  <si>
    <t>ΠΕΡΙΦΕΡΕΙΑ / ΠΕΡΙΦΕΡΕΙΑΚΗ ΕΝΟΤΗΤΑ  :</t>
  </si>
  <si>
    <t>ΠΕΡΙΟΧΗ / ΔΗΜΟΣ :</t>
  </si>
  <si>
    <t>ΟΔΟΣ / ΑΡΙΘΜΟΣ :</t>
  </si>
  <si>
    <t>Τ.Κ. :</t>
  </si>
  <si>
    <t>ΤΗΛΕΦΩΝΑ :</t>
  </si>
  <si>
    <t>ΕMAIL :</t>
  </si>
  <si>
    <t>ΌΧΙ*</t>
  </si>
  <si>
    <r>
      <t xml:space="preserve">*Λαμβάνεται υπόψιν μόνο για οικονομικές </t>
    </r>
    <r>
      <rPr>
        <b/>
        <sz val="9"/>
        <color indexed="8"/>
        <rFont val="Aptos Narrow"/>
        <family val="2"/>
        <charset val="161"/>
      </rPr>
      <t>δραστηριότητες/εγκαταστάσεις που υπάγονται σε καθεστώς άδειας, έγκρισης ή  γνωστοποίησης λειτουργίας</t>
    </r>
    <r>
      <rPr>
        <b/>
        <sz val="9"/>
        <color indexed="8"/>
        <rFont val="Aptos Narrow"/>
        <family val="2"/>
        <charset val="161"/>
      </rPr>
      <t xml:space="preserve"> και </t>
    </r>
    <r>
      <rPr>
        <b/>
        <u/>
        <sz val="9"/>
        <color indexed="10"/>
        <rFont val="Aptos Narrow"/>
        <charset val="161"/>
      </rPr>
      <t>δεν έχουν απαίτηση έκδοσης διοικητικής πράξης πυροπροστασίας</t>
    </r>
    <r>
      <rPr>
        <b/>
        <sz val="9"/>
        <color indexed="8"/>
        <rFont val="Aptos Narrow"/>
        <family val="2"/>
        <charset val="161"/>
      </rPr>
      <t xml:space="preserve"> (παρ.5.4.1.) και δεν πραγματοποιούνται τακτικοί έλεγχοι</t>
    </r>
  </si>
  <si>
    <t>-</t>
  </si>
  <si>
    <t>Αρχικό Επίπεδο Επικινδυνότητας</t>
  </si>
  <si>
    <t>Τελικό Επίπεδο Επικινδυνότητας</t>
  </si>
  <si>
    <t>Αρχικό Επίπεδο Επικινδυνότητας της αξιολογούμενης εγκατάστασης</t>
  </si>
  <si>
    <t>Τελικό Επίπεδο Επικινδυνότητας της αξιολογούμενης εγκατάστασης</t>
  </si>
  <si>
    <t>Επίπεδο Αρχικής Επικινδυνότητας</t>
  </si>
  <si>
    <t>Δεν πραγματοποιούνται έλεγχοι</t>
  </si>
  <si>
    <t>\</t>
  </si>
  <si>
    <t>Γ. Δυναμικά κριτήρια για την κατάταξη σε επίπεδα επικινδυνότητας</t>
  </si>
  <si>
    <t>Υπογραφές/Ημερομηνία</t>
  </si>
  <si>
    <t>Ο ΠΡΟΪΣΤΑΜΕΝΟΣ ΓΡΑΦΕΙΟΥ ΠΡΟΛΗΠΤΙΚΗΣ ΚΑΙ ΚΑΤΑΣΤΑΛΤΙΚΗΣ ΠΥΡΑΣΦΑΛΕΙΑΣ</t>
  </si>
  <si>
    <t>Ο ΕΛΕΓΚΤΗΣ</t>
  </si>
  <si>
    <t>Β. Ειδικά κριτήρια για την κατάταξη σε επίπεδα επικινδυνότητας</t>
  </si>
  <si>
    <t>Συχνότητα Ελέγχων Τελική</t>
  </si>
  <si>
    <t>Συνολική Βαθμολογία(Β1 + Β2 + Β3 + Β4 + Β5 + Β6 +*Β7*)</t>
  </si>
  <si>
    <t>Α/Α ΑΞΙΟΛΟΓΗΣΗΣ:</t>
  </si>
  <si>
    <t>A/A ΑΙΤΗΣΗΣ</t>
  </si>
  <si>
    <t xml:space="preserve">                                                                                                                                  ΟΡΦΑΝΟΣ ΑΝΤΩΝΙΟΣ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</si>
  <si>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</t>
  </si>
</sst>
</file>

<file path=xl/styles.xml><?xml version="1.0" encoding="utf-8"?>
<styleSheet xmlns="http://schemas.openxmlformats.org/spreadsheetml/2006/main">
  <fonts count="35">
    <font>
      <sz val="11"/>
      <color theme="1"/>
      <name val="Aptos Narrow"/>
      <family val="2"/>
      <scheme val="minor"/>
    </font>
    <font>
      <b/>
      <sz val="9"/>
      <color indexed="8"/>
      <name val="Aptos Narrow"/>
      <family val="2"/>
      <charset val="161"/>
    </font>
    <font>
      <b/>
      <u/>
      <sz val="9"/>
      <color indexed="10"/>
      <name val="Aptos Narrow"/>
      <charset val="161"/>
    </font>
    <font>
      <b/>
      <sz val="11"/>
      <color theme="1"/>
      <name val="Aptos Narrow"/>
      <family val="2"/>
      <charset val="161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26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i/>
      <u/>
      <sz val="26"/>
      <color theme="1"/>
      <name val="Arial"/>
      <family val="2"/>
    </font>
    <font>
      <b/>
      <i/>
      <u/>
      <sz val="28"/>
      <color theme="1"/>
      <name val="Arial"/>
      <family val="2"/>
    </font>
    <font>
      <sz val="14"/>
      <color theme="1"/>
      <name val="Arial"/>
      <family val="2"/>
    </font>
    <font>
      <b/>
      <sz val="24"/>
      <color theme="1"/>
      <name val="Arial"/>
      <family val="2"/>
    </font>
    <font>
      <b/>
      <sz val="28"/>
      <color theme="1"/>
      <name val="Arial"/>
      <family val="2"/>
    </font>
    <font>
      <b/>
      <sz val="9"/>
      <color rgb="FF000000"/>
      <name val="Aptos Narrow"/>
      <family val="2"/>
      <charset val="161"/>
      <scheme val="minor"/>
    </font>
    <font>
      <b/>
      <sz val="14"/>
      <color theme="1"/>
      <name val="Aptos Narrow"/>
      <family val="2"/>
      <charset val="161"/>
      <scheme val="minor"/>
    </font>
    <font>
      <b/>
      <sz val="18"/>
      <color theme="1"/>
      <name val="Aptos Narrow"/>
      <family val="2"/>
      <scheme val="minor"/>
    </font>
    <font>
      <b/>
      <i/>
      <u/>
      <sz val="24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ptos Narrow"/>
      <family val="2"/>
      <charset val="161"/>
      <scheme val="minor"/>
    </font>
    <font>
      <b/>
      <i/>
      <u/>
      <sz val="22"/>
      <color theme="1"/>
      <name val="Arial"/>
      <family val="2"/>
    </font>
    <font>
      <b/>
      <sz val="11"/>
      <color theme="1"/>
      <name val="Calibri"/>
      <family val="2"/>
      <charset val="161"/>
    </font>
    <font>
      <b/>
      <sz val="18"/>
      <color theme="1"/>
      <name val="Calibri"/>
      <family val="2"/>
      <charset val="161"/>
    </font>
    <font>
      <b/>
      <sz val="22"/>
      <color theme="1"/>
      <name val="Arial"/>
      <family val="2"/>
      <charset val="161"/>
    </font>
    <font>
      <b/>
      <sz val="20"/>
      <color theme="1"/>
      <name val="Arial"/>
      <family val="2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Display"/>
      <family val="2"/>
      <charset val="161"/>
      <scheme val="major"/>
    </font>
    <font>
      <b/>
      <sz val="22"/>
      <color theme="1"/>
      <name val="Aptos Display"/>
      <family val="2"/>
      <charset val="161"/>
      <scheme val="major"/>
    </font>
    <font>
      <b/>
      <sz val="20"/>
      <color theme="1"/>
      <name val="Arial"/>
      <family val="2"/>
      <charset val="161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25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2" fontId="4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0" borderId="0" xfId="0" applyFont="1"/>
    <xf numFmtId="2" fontId="4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wrapText="1"/>
    </xf>
    <xf numFmtId="0" fontId="18" fillId="11" borderId="10" xfId="0" applyFont="1" applyFill="1" applyBorder="1" applyAlignment="1">
      <alignment vertical="center"/>
    </xf>
    <xf numFmtId="0" fontId="5" fillId="2" borderId="20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5" fillId="2" borderId="27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27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8" fillId="0" borderId="0" xfId="0" applyFont="1"/>
    <xf numFmtId="0" fontId="15" fillId="3" borderId="18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24" fillId="13" borderId="7" xfId="0" applyFont="1" applyFill="1" applyBorder="1" applyAlignment="1" applyProtection="1">
      <alignment horizontal="center" vertical="top" wrapText="1"/>
      <protection locked="0"/>
    </xf>
    <xf numFmtId="0" fontId="24" fillId="13" borderId="8" xfId="0" applyFont="1" applyFill="1" applyBorder="1" applyAlignment="1" applyProtection="1">
      <alignment horizontal="center" vertical="top" wrapText="1"/>
      <protection locked="0"/>
    </xf>
    <xf numFmtId="0" fontId="24" fillId="13" borderId="6" xfId="0" applyFont="1" applyFill="1" applyBorder="1" applyAlignment="1" applyProtection="1">
      <alignment horizontal="center" vertical="top" wrapText="1"/>
      <protection locked="0"/>
    </xf>
    <xf numFmtId="0" fontId="24" fillId="13" borderId="0" xfId="0" applyFont="1" applyFill="1" applyBorder="1" applyAlignment="1" applyProtection="1">
      <alignment horizontal="center" vertical="top" wrapText="1"/>
      <protection locked="0"/>
    </xf>
    <xf numFmtId="0" fontId="24" fillId="13" borderId="12" xfId="0" applyFont="1" applyFill="1" applyBorder="1" applyAlignment="1" applyProtection="1">
      <alignment horizontal="center" vertical="top" wrapText="1"/>
      <protection locked="0"/>
    </xf>
    <xf numFmtId="0" fontId="24" fillId="13" borderId="13" xfId="0" applyFont="1" applyFill="1" applyBorder="1" applyAlignment="1" applyProtection="1">
      <alignment horizontal="center" vertical="top" wrapText="1"/>
      <protection locked="0"/>
    </xf>
    <xf numFmtId="0" fontId="5" fillId="7" borderId="3" xfId="0" applyFont="1" applyFill="1" applyBorder="1" applyAlignment="1">
      <alignment horizontal="centerContinuous" vertical="center" wrapText="1"/>
    </xf>
    <xf numFmtId="0" fontId="5" fillId="7" borderId="4" xfId="0" applyFont="1" applyFill="1" applyBorder="1" applyAlignment="1">
      <alignment horizontal="centerContinuous" vertical="center" wrapText="1"/>
    </xf>
    <xf numFmtId="0" fontId="5" fillId="7" borderId="5" xfId="0" applyFont="1" applyFill="1" applyBorder="1" applyAlignment="1">
      <alignment horizontal="centerContinuous" vertical="center" wrapText="1"/>
    </xf>
    <xf numFmtId="0" fontId="4" fillId="0" borderId="3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4" fillId="7" borderId="3" xfId="0" applyFont="1" applyFill="1" applyBorder="1" applyAlignment="1">
      <alignment horizontal="centerContinuous" vertical="center"/>
    </xf>
    <xf numFmtId="0" fontId="4" fillId="7" borderId="4" xfId="0" applyFont="1" applyFill="1" applyBorder="1" applyAlignment="1">
      <alignment horizontal="centerContinuous" vertical="center"/>
    </xf>
    <xf numFmtId="0" fontId="4" fillId="7" borderId="5" xfId="0" applyFont="1" applyFill="1" applyBorder="1" applyAlignment="1">
      <alignment horizontal="centerContinuous" vertical="center"/>
    </xf>
    <xf numFmtId="0" fontId="4" fillId="5" borderId="3" xfId="0" applyFont="1" applyFill="1" applyBorder="1" applyAlignment="1">
      <alignment horizontal="centerContinuous" vertical="center"/>
    </xf>
    <xf numFmtId="0" fontId="4" fillId="5" borderId="5" xfId="0" applyFont="1" applyFill="1" applyBorder="1" applyAlignment="1">
      <alignment horizontal="centerContinuous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0" borderId="10" xfId="0" applyFill="1" applyBorder="1" applyAlignment="1">
      <alignment horizontal="center" vertical="center" wrapText="1"/>
    </xf>
    <xf numFmtId="0" fontId="0" fillId="10" borderId="28" xfId="0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10" borderId="10" xfId="0" applyFont="1" applyFill="1" applyBorder="1" applyAlignment="1">
      <alignment horizontal="right" vertical="center"/>
    </xf>
    <xf numFmtId="0" fontId="0" fillId="10" borderId="10" xfId="0" applyFill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>
      <alignment horizontal="right" vertical="center"/>
    </xf>
    <xf numFmtId="0" fontId="0" fillId="10" borderId="15" xfId="0" applyFill="1" applyBorder="1" applyAlignment="1" applyProtection="1">
      <alignment horizontal="center" vertical="center" wrapText="1"/>
      <protection locked="0"/>
    </xf>
    <xf numFmtId="0" fontId="0" fillId="10" borderId="16" xfId="0" applyFill="1" applyBorder="1" applyAlignment="1" applyProtection="1">
      <alignment horizontal="center" vertical="center" wrapText="1"/>
      <protection locked="0"/>
    </xf>
    <xf numFmtId="0" fontId="0" fillId="10" borderId="17" xfId="0" applyFill="1" applyBorder="1" applyAlignment="1" applyProtection="1">
      <alignment horizontal="center" vertical="center" wrapText="1"/>
      <protection locked="0"/>
    </xf>
    <xf numFmtId="0" fontId="0" fillId="10" borderId="28" xfId="0" applyFill="1" applyBorder="1" applyAlignment="1" applyProtection="1">
      <alignment horizontal="center" vertical="center"/>
      <protection locked="0"/>
    </xf>
    <xf numFmtId="0" fontId="0" fillId="10" borderId="29" xfId="0" applyFill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10" borderId="7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33" fillId="10" borderId="10" xfId="1" applyFill="1" applyBorder="1" applyAlignment="1" applyProtection="1">
      <alignment horizontal="center" vertical="center" wrapText="1"/>
      <protection locked="0"/>
    </xf>
    <xf numFmtId="0" fontId="32" fillId="0" borderId="1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/>
    </xf>
    <xf numFmtId="0" fontId="27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 applyProtection="1">
      <alignment horizontal="center" vertical="center"/>
      <protection locked="0"/>
    </xf>
    <xf numFmtId="0" fontId="27" fillId="3" borderId="4" xfId="0" applyFont="1" applyFill="1" applyBorder="1" applyAlignment="1" applyProtection="1">
      <alignment horizontal="center" vertical="center"/>
      <protection locked="0"/>
    </xf>
    <xf numFmtId="0" fontId="27" fillId="3" borderId="5" xfId="0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>
      <alignment horizontal="center" vertical="center"/>
    </xf>
    <xf numFmtId="0" fontId="15" fillId="6" borderId="24" xfId="0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15" fillId="6" borderId="26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 applyProtection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34" fillId="10" borderId="8" xfId="0" applyFont="1" applyFill="1" applyBorder="1" applyAlignment="1">
      <alignment horizontal="center" vertical="center"/>
    </xf>
    <xf numFmtId="0" fontId="34" fillId="10" borderId="13" xfId="0" applyFont="1" applyFill="1" applyBorder="1" applyAlignment="1">
      <alignment horizontal="center" vertical="center"/>
    </xf>
    <xf numFmtId="14" fontId="0" fillId="10" borderId="28" xfId="0" applyNumberFormat="1" applyFill="1" applyBorder="1" applyAlignment="1" applyProtection="1">
      <alignment horizontal="center" vertical="center"/>
      <protection locked="0"/>
    </xf>
    <xf numFmtId="14" fontId="0" fillId="10" borderId="29" xfId="0" applyNumberFormat="1" applyFill="1" applyBorder="1" applyAlignment="1" applyProtection="1">
      <alignment horizontal="center" vertical="center"/>
      <protection locked="0"/>
    </xf>
    <xf numFmtId="0" fontId="23" fillId="7" borderId="1" xfId="0" applyFont="1" applyFill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2" fontId="4" fillId="6" borderId="3" xfId="0" applyNumberFormat="1" applyFont="1" applyFill="1" applyBorder="1" applyAlignment="1">
      <alignment horizontal="center" vertical="center"/>
    </xf>
    <xf numFmtId="2" fontId="4" fillId="6" borderId="5" xfId="0" applyNumberFormat="1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/>
    </xf>
    <xf numFmtId="0" fontId="24" fillId="13" borderId="8" xfId="0" applyFont="1" applyFill="1" applyBorder="1" applyAlignment="1" applyProtection="1">
      <alignment horizontal="center" vertical="top" wrapText="1"/>
      <protection locked="0"/>
    </xf>
    <xf numFmtId="0" fontId="24" fillId="13" borderId="9" xfId="0" applyFont="1" applyFill="1" applyBorder="1" applyAlignment="1" applyProtection="1">
      <alignment horizontal="center" vertical="top" wrapText="1"/>
      <protection locked="0"/>
    </xf>
    <xf numFmtId="0" fontId="24" fillId="13" borderId="0" xfId="0" applyFont="1" applyFill="1" applyBorder="1" applyAlignment="1" applyProtection="1">
      <alignment horizontal="center" vertical="top" wrapText="1"/>
      <protection locked="0"/>
    </xf>
    <xf numFmtId="0" fontId="24" fillId="13" borderId="11" xfId="0" applyFont="1" applyFill="1" applyBorder="1" applyAlignment="1" applyProtection="1">
      <alignment horizontal="center" vertical="top" wrapText="1"/>
      <protection locked="0"/>
    </xf>
    <xf numFmtId="0" fontId="24" fillId="13" borderId="13" xfId="0" applyFont="1" applyFill="1" applyBorder="1" applyAlignment="1" applyProtection="1">
      <alignment horizontal="center" vertical="top" wrapText="1"/>
      <protection locked="0"/>
    </xf>
    <xf numFmtId="0" fontId="24" fillId="13" borderId="14" xfId="0" applyFont="1" applyFill="1" applyBorder="1" applyAlignment="1" applyProtection="1">
      <alignment horizontal="center" vertical="top" wrapText="1"/>
      <protection locked="0"/>
    </xf>
    <xf numFmtId="0" fontId="25" fillId="12" borderId="15" xfId="0" applyFont="1" applyFill="1" applyBorder="1" applyAlignment="1">
      <alignment horizontal="right" wrapText="1"/>
    </xf>
    <xf numFmtId="0" fontId="25" fillId="12" borderId="16" xfId="0" applyFont="1" applyFill="1" applyBorder="1" applyAlignment="1">
      <alignment horizontal="right" wrapText="1"/>
    </xf>
    <xf numFmtId="0" fontId="25" fillId="12" borderId="16" xfId="0" applyFont="1" applyFill="1" applyBorder="1" applyAlignment="1">
      <alignment horizontal="center" wrapText="1"/>
    </xf>
    <xf numFmtId="0" fontId="25" fillId="12" borderId="17" xfId="0" applyFont="1" applyFill="1" applyBorder="1" applyAlignment="1">
      <alignment horizontal="center" wrapText="1"/>
    </xf>
    <xf numFmtId="14" fontId="24" fillId="13" borderId="15" xfId="0" applyNumberFormat="1" applyFont="1" applyFill="1" applyBorder="1" applyAlignment="1" applyProtection="1">
      <alignment horizontal="center" wrapText="1"/>
      <protection locked="0"/>
    </xf>
    <xf numFmtId="0" fontId="24" fillId="13" borderId="16" xfId="0" applyFont="1" applyFill="1" applyBorder="1" applyAlignment="1" applyProtection="1">
      <alignment horizontal="center" wrapText="1"/>
      <protection locked="0"/>
    </xf>
    <xf numFmtId="0" fontId="30" fillId="9" borderId="1" xfId="0" applyFont="1" applyFill="1" applyBorder="1" applyAlignment="1">
      <alignment horizontal="center" vertical="center"/>
    </xf>
    <xf numFmtId="0" fontId="24" fillId="13" borderId="15" xfId="0" applyFont="1" applyFill="1" applyBorder="1" applyAlignment="1">
      <alignment horizontal="center" vertical="top" wrapText="1"/>
    </xf>
    <xf numFmtId="0" fontId="24" fillId="13" borderId="16" xfId="0" applyFont="1" applyFill="1" applyBorder="1" applyAlignment="1">
      <alignment horizontal="center" vertical="top" wrapText="1"/>
    </xf>
    <xf numFmtId="0" fontId="24" fillId="13" borderId="17" xfId="0" applyFont="1" applyFill="1" applyBorder="1" applyAlignment="1">
      <alignment horizontal="center" vertical="top" wrapText="1"/>
    </xf>
    <xf numFmtId="0" fontId="24" fillId="13" borderId="6" xfId="0" applyFont="1" applyFill="1" applyBorder="1" applyAlignment="1">
      <alignment horizontal="center" vertical="top" wrapText="1"/>
    </xf>
    <xf numFmtId="0" fontId="24" fillId="13" borderId="0" xfId="0" applyFont="1" applyFill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4" fillId="0" borderId="11" xfId="0" applyFont="1" applyBorder="1" applyAlignment="1">
      <alignment horizontal="center" vertical="top" wrapText="1"/>
    </xf>
    <xf numFmtId="14" fontId="24" fillId="0" borderId="16" xfId="0" applyNumberFormat="1" applyFont="1" applyBorder="1" applyAlignment="1" applyProtection="1">
      <alignment horizontal="center" wrapText="1"/>
      <protection locked="0"/>
    </xf>
    <xf numFmtId="0" fontId="24" fillId="0" borderId="16" xfId="0" applyFont="1" applyBorder="1" applyAlignment="1" applyProtection="1">
      <alignment horizontal="center" wrapText="1"/>
      <protection locked="0"/>
    </xf>
    <xf numFmtId="0" fontId="24" fillId="0" borderId="17" xfId="0" applyFont="1" applyBorder="1" applyAlignment="1" applyProtection="1">
      <alignment horizontal="center" wrapText="1"/>
      <protection locked="0"/>
    </xf>
    <xf numFmtId="0" fontId="31" fillId="9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wrapText="1"/>
    </xf>
    <xf numFmtId="0" fontId="17" fillId="0" borderId="0" xfId="0" applyFont="1" applyBorder="1" applyAlignment="1">
      <alignment horizontal="center" wrapText="1"/>
    </xf>
    <xf numFmtId="0" fontId="14" fillId="3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9525</xdr:rowOff>
    </xdr:from>
    <xdr:to>
      <xdr:col>2</xdr:col>
      <xdr:colOff>28575</xdr:colOff>
      <xdr:row>2</xdr:row>
      <xdr:rowOff>200025</xdr:rowOff>
    </xdr:to>
    <xdr:pic>
      <xdr:nvPicPr>
        <xdr:cNvPr id="13358" name="1 - Εικόνα" descr="Εικόνα που περιέχει έμβλημα, σύμβολο, οικόσημο, λογότυπο&#10;&#10;Περιγραφή που δημιουργήθηκε αυτόματα">
          <a:extLst>
            <a:ext uri="{FF2B5EF4-FFF2-40B4-BE49-F238E27FC236}">
              <a16:creationId xmlns:a16="http://schemas.microsoft.com/office/drawing/2014/main" xmlns="" id="{00000000-0008-0000-0000-00002E3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5300" y="9525"/>
          <a:ext cx="7524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1"/>
  <sheetViews>
    <sheetView tabSelected="1" zoomScaleNormal="100" zoomScaleSheetLayoutView="70" workbookViewId="0">
      <selection activeCell="D6" sqref="D6:G6"/>
    </sheetView>
  </sheetViews>
  <sheetFormatPr defaultRowHeight="15"/>
  <cols>
    <col min="4" max="4" width="21.42578125" customWidth="1"/>
    <col min="6" max="6" width="11" customWidth="1"/>
    <col min="7" max="7" width="26.5703125" customWidth="1"/>
    <col min="12" max="12" width="10" bestFit="1" customWidth="1"/>
  </cols>
  <sheetData>
    <row r="1" spans="1:7" ht="15.75" thickBot="1">
      <c r="A1" s="83"/>
      <c r="B1" s="84"/>
      <c r="C1" s="85"/>
      <c r="D1" s="89" t="s">
        <v>109</v>
      </c>
      <c r="E1" s="89"/>
      <c r="F1" s="89"/>
      <c r="G1" s="89"/>
    </row>
    <row r="2" spans="1:7" ht="15.75" thickBot="1">
      <c r="A2" s="86"/>
      <c r="B2" s="87"/>
      <c r="C2" s="88"/>
      <c r="D2" s="89"/>
      <c r="E2" s="89"/>
      <c r="F2" s="89"/>
      <c r="G2" s="89"/>
    </row>
    <row r="3" spans="1:7" ht="19.149999999999999" customHeight="1" thickBot="1">
      <c r="A3" s="86"/>
      <c r="B3" s="87"/>
      <c r="C3" s="88"/>
      <c r="D3" s="89"/>
      <c r="E3" s="90"/>
      <c r="F3" s="89"/>
      <c r="G3" s="89"/>
    </row>
    <row r="4" spans="1:7">
      <c r="A4" s="91" t="s">
        <v>110</v>
      </c>
      <c r="B4" s="92"/>
      <c r="C4" s="93"/>
      <c r="D4" s="108" t="s">
        <v>111</v>
      </c>
      <c r="E4" s="103"/>
      <c r="F4" s="172" t="s">
        <v>112</v>
      </c>
      <c r="G4" s="174"/>
    </row>
    <row r="5" spans="1:7" ht="15.75" thickBot="1">
      <c r="A5" s="94" t="s">
        <v>113</v>
      </c>
      <c r="B5" s="95"/>
      <c r="C5" s="96"/>
      <c r="D5" s="109"/>
      <c r="E5" s="104"/>
      <c r="F5" s="173"/>
      <c r="G5" s="175"/>
    </row>
    <row r="6" spans="1:7" ht="15.75" thickBot="1">
      <c r="A6" s="114" t="s">
        <v>142</v>
      </c>
      <c r="B6" s="115"/>
      <c r="C6" s="115"/>
      <c r="D6" s="105"/>
      <c r="E6" s="106"/>
      <c r="F6" s="106"/>
      <c r="G6" s="107"/>
    </row>
    <row r="7" spans="1:7" ht="15.75" thickBot="1"/>
    <row r="8" spans="1:7" ht="49.9" customHeight="1" thickBot="1">
      <c r="A8" s="45" t="s">
        <v>114</v>
      </c>
      <c r="B8" s="45"/>
      <c r="C8" s="45"/>
      <c r="D8" s="45"/>
      <c r="E8" s="45"/>
      <c r="F8" s="45"/>
      <c r="G8" s="45"/>
    </row>
    <row r="9" spans="1:7" ht="49.9" customHeight="1" thickBot="1">
      <c r="A9" s="97" t="s">
        <v>115</v>
      </c>
      <c r="B9" s="97"/>
      <c r="C9" s="97"/>
      <c r="D9" s="97"/>
      <c r="E9" s="98"/>
      <c r="F9" s="98"/>
      <c r="G9" s="98"/>
    </row>
    <row r="10" spans="1:7" ht="49.9" customHeight="1" thickBot="1">
      <c r="A10" s="99" t="s">
        <v>116</v>
      </c>
      <c r="B10" s="99"/>
      <c r="C10" s="99"/>
      <c r="D10" s="99"/>
      <c r="E10" s="98"/>
      <c r="F10" s="98"/>
      <c r="G10" s="98"/>
    </row>
    <row r="11" spans="1:7" ht="49.9" customHeight="1" thickBot="1">
      <c r="A11" s="97" t="s">
        <v>117</v>
      </c>
      <c r="B11" s="97"/>
      <c r="C11" s="97"/>
      <c r="D11" s="97"/>
      <c r="E11" s="100"/>
      <c r="F11" s="101"/>
      <c r="G11" s="102"/>
    </row>
    <row r="12" spans="1:7" ht="49.9" customHeight="1" thickBot="1">
      <c r="A12" s="99" t="s">
        <v>118</v>
      </c>
      <c r="B12" s="99"/>
      <c r="C12" s="99"/>
      <c r="D12" s="99"/>
      <c r="E12" s="110"/>
      <c r="F12" s="110"/>
      <c r="G12" s="110"/>
    </row>
    <row r="13" spans="1:7" ht="49.9" customHeight="1" thickBot="1">
      <c r="A13" s="97" t="s">
        <v>119</v>
      </c>
      <c r="B13" s="97"/>
      <c r="C13" s="97"/>
      <c r="D13" s="97"/>
      <c r="E13" s="100"/>
      <c r="F13" s="101"/>
      <c r="G13" s="102"/>
    </row>
    <row r="14" spans="1:7" ht="49.9" customHeight="1" thickBot="1">
      <c r="A14" s="99" t="s">
        <v>120</v>
      </c>
      <c r="B14" s="99"/>
      <c r="C14" s="99"/>
      <c r="D14" s="99"/>
      <c r="E14" s="110"/>
      <c r="F14" s="110"/>
      <c r="G14" s="110"/>
    </row>
    <row r="15" spans="1:7" ht="49.9" customHeight="1" thickBot="1">
      <c r="A15" s="97" t="s">
        <v>121</v>
      </c>
      <c r="B15" s="97"/>
      <c r="C15" s="97"/>
      <c r="D15" s="97"/>
      <c r="E15" s="98"/>
      <c r="F15" s="98"/>
      <c r="G15" s="98"/>
    </row>
    <row r="16" spans="1:7" ht="49.9" customHeight="1" thickBot="1">
      <c r="A16" s="99" t="s">
        <v>122</v>
      </c>
      <c r="B16" s="99"/>
      <c r="C16" s="99"/>
      <c r="D16" s="99"/>
      <c r="E16" s="110"/>
      <c r="F16" s="110"/>
      <c r="G16" s="110"/>
    </row>
    <row r="17" spans="1:7" ht="49.5" customHeight="1" thickBot="1">
      <c r="A17" s="97" t="s">
        <v>123</v>
      </c>
      <c r="B17" s="97"/>
      <c r="C17" s="97"/>
      <c r="D17" s="97"/>
      <c r="E17" s="116"/>
      <c r="F17" s="98"/>
      <c r="G17" s="98"/>
    </row>
    <row r="19" spans="1:7" hidden="1"/>
    <row r="20" spans="1:7" ht="26.25">
      <c r="A20" s="117" t="s">
        <v>0</v>
      </c>
      <c r="B20" s="117"/>
      <c r="C20" s="117"/>
      <c r="D20" s="117"/>
      <c r="E20" s="117"/>
      <c r="F20" s="117"/>
      <c r="G20" s="117"/>
    </row>
    <row r="21" spans="1:7" ht="63">
      <c r="A21" s="46" t="s">
        <v>1</v>
      </c>
      <c r="B21" s="118" t="s">
        <v>2</v>
      </c>
      <c r="C21" s="119"/>
      <c r="D21" s="119"/>
      <c r="E21" s="119"/>
      <c r="F21" s="120"/>
      <c r="G21" s="47" t="s">
        <v>3</v>
      </c>
    </row>
    <row r="22" spans="1:7">
      <c r="A22" s="42" t="s">
        <v>4</v>
      </c>
      <c r="B22" s="121" t="s">
        <v>10</v>
      </c>
      <c r="C22" s="121"/>
      <c r="D22" s="121"/>
      <c r="E22" s="121"/>
      <c r="F22" s="121"/>
      <c r="G22" s="42">
        <v>0</v>
      </c>
    </row>
    <row r="23" spans="1:7">
      <c r="A23" s="5" t="s">
        <v>5</v>
      </c>
      <c r="B23" s="122" t="s">
        <v>23</v>
      </c>
      <c r="C23" s="122"/>
      <c r="D23" s="122"/>
      <c r="E23" s="122"/>
      <c r="F23" s="122"/>
      <c r="G23" s="5">
        <v>8</v>
      </c>
    </row>
    <row r="24" spans="1:7">
      <c r="A24" s="42" t="s">
        <v>6</v>
      </c>
      <c r="B24" s="121" t="s">
        <v>11</v>
      </c>
      <c r="C24" s="121"/>
      <c r="D24" s="121"/>
      <c r="E24" s="121"/>
      <c r="F24" s="121"/>
      <c r="G24" s="42">
        <v>4</v>
      </c>
    </row>
    <row r="25" spans="1:7">
      <c r="A25" s="5" t="s">
        <v>7</v>
      </c>
      <c r="B25" s="122" t="s">
        <v>11</v>
      </c>
      <c r="C25" s="122"/>
      <c r="D25" s="122"/>
      <c r="E25" s="122"/>
      <c r="F25" s="122"/>
      <c r="G25" s="5">
        <v>12</v>
      </c>
    </row>
    <row r="26" spans="1:7" ht="33" customHeight="1">
      <c r="A26" s="42" t="s">
        <v>8</v>
      </c>
      <c r="B26" s="123" t="s">
        <v>12</v>
      </c>
      <c r="C26" s="123"/>
      <c r="D26" s="123"/>
      <c r="E26" s="123"/>
      <c r="F26" s="123"/>
      <c r="G26" s="42">
        <v>12</v>
      </c>
    </row>
    <row r="27" spans="1:7" ht="28.5" customHeight="1">
      <c r="A27" s="5" t="s">
        <v>9</v>
      </c>
      <c r="B27" s="111" t="s">
        <v>13</v>
      </c>
      <c r="C27" s="111"/>
      <c r="D27" s="111"/>
      <c r="E27" s="111"/>
      <c r="F27" s="111"/>
      <c r="G27" s="5">
        <v>16</v>
      </c>
    </row>
    <row r="28" spans="1:7" ht="38.25" customHeight="1">
      <c r="A28" s="125" t="s">
        <v>14</v>
      </c>
      <c r="B28" s="126"/>
      <c r="C28" s="126"/>
      <c r="D28" s="126"/>
      <c r="E28" s="126"/>
      <c r="F28" s="127"/>
      <c r="G28" s="41" t="s">
        <v>102</v>
      </c>
    </row>
    <row r="29" spans="1:7" s="56" customFormat="1" ht="26.25">
      <c r="A29" s="112" t="s">
        <v>4</v>
      </c>
      <c r="B29" s="112"/>
      <c r="C29" s="112"/>
      <c r="D29" s="112"/>
      <c r="E29" s="112"/>
      <c r="F29" s="112"/>
      <c r="G29" s="55">
        <f>VLOOKUP(A29,A22:G27,7)</f>
        <v>0</v>
      </c>
    </row>
    <row r="31" spans="1:7" ht="26.25">
      <c r="A31" s="117" t="s">
        <v>24</v>
      </c>
      <c r="B31" s="117"/>
      <c r="C31" s="117"/>
      <c r="D31" s="117"/>
      <c r="E31" s="117"/>
      <c r="F31" s="117"/>
      <c r="G31" s="117"/>
    </row>
    <row r="32" spans="1:7" ht="45">
      <c r="A32" s="51" t="s">
        <v>15</v>
      </c>
      <c r="B32" s="51" t="s">
        <v>16</v>
      </c>
      <c r="C32" s="118" t="s">
        <v>17</v>
      </c>
      <c r="D32" s="119"/>
      <c r="E32" s="119"/>
      <c r="F32" s="120"/>
      <c r="G32" s="49" t="s">
        <v>3</v>
      </c>
    </row>
    <row r="33" spans="1:7" ht="90.75" customHeight="1">
      <c r="A33" s="42">
        <v>1</v>
      </c>
      <c r="B33" s="42" t="s">
        <v>18</v>
      </c>
      <c r="C33" s="123" t="s">
        <v>22</v>
      </c>
      <c r="D33" s="123"/>
      <c r="E33" s="123"/>
      <c r="F33" s="123"/>
      <c r="G33" s="42">
        <v>0</v>
      </c>
    </row>
    <row r="34" spans="1:7" ht="91.5" customHeight="1">
      <c r="A34" s="5">
        <v>2</v>
      </c>
      <c r="B34" s="5" t="s">
        <v>19</v>
      </c>
      <c r="C34" s="111" t="s">
        <v>25</v>
      </c>
      <c r="D34" s="111"/>
      <c r="E34" s="111"/>
      <c r="F34" s="111"/>
      <c r="G34" s="5">
        <v>4</v>
      </c>
    </row>
    <row r="35" spans="1:7" ht="76.5" customHeight="1">
      <c r="A35" s="42">
        <v>3</v>
      </c>
      <c r="B35" s="42" t="s">
        <v>20</v>
      </c>
      <c r="C35" s="123" t="s">
        <v>26</v>
      </c>
      <c r="D35" s="123"/>
      <c r="E35" s="123"/>
      <c r="F35" s="123"/>
      <c r="G35" s="42">
        <v>8</v>
      </c>
    </row>
    <row r="36" spans="1:7" ht="70.5" customHeight="1">
      <c r="A36" s="5">
        <v>4</v>
      </c>
      <c r="B36" s="5" t="s">
        <v>21</v>
      </c>
      <c r="C36" s="111" t="s">
        <v>27</v>
      </c>
      <c r="D36" s="111"/>
      <c r="E36" s="111"/>
      <c r="F36" s="111"/>
      <c r="G36" s="5">
        <v>12</v>
      </c>
    </row>
    <row r="37" spans="1:7" ht="42.75" customHeight="1">
      <c r="A37" s="113" t="s">
        <v>14</v>
      </c>
      <c r="B37" s="113"/>
      <c r="C37" s="113"/>
      <c r="D37" s="113"/>
      <c r="E37" s="113"/>
      <c r="F37" s="113"/>
      <c r="G37" s="41" t="s">
        <v>101</v>
      </c>
    </row>
    <row r="38" spans="1:7" s="56" customFormat="1" ht="26.25">
      <c r="A38" s="112">
        <v>1</v>
      </c>
      <c r="B38" s="112"/>
      <c r="C38" s="112"/>
      <c r="D38" s="112"/>
      <c r="E38" s="112"/>
      <c r="F38" s="112"/>
      <c r="G38" s="55">
        <f>VLOOKUP(A38,A33:G36,7)</f>
        <v>0</v>
      </c>
    </row>
    <row r="41" spans="1:7" ht="30">
      <c r="A41" s="124" t="s">
        <v>39</v>
      </c>
      <c r="B41" s="124"/>
      <c r="C41" s="124"/>
      <c r="D41" s="124"/>
      <c r="E41" s="124"/>
      <c r="F41" s="124"/>
      <c r="G41" s="124"/>
    </row>
    <row r="42" spans="1:7" ht="30">
      <c r="A42" s="134" t="s">
        <v>28</v>
      </c>
      <c r="B42" s="134"/>
      <c r="C42" s="134"/>
      <c r="D42" s="128" t="s">
        <v>29</v>
      </c>
      <c r="E42" s="128"/>
      <c r="F42" s="128"/>
      <c r="G42" s="48" t="s">
        <v>30</v>
      </c>
    </row>
    <row r="43" spans="1:7" ht="15" customHeight="1">
      <c r="A43" s="135">
        <f>SUM(G29,G38)</f>
        <v>0</v>
      </c>
      <c r="B43" s="135"/>
      <c r="C43" s="135"/>
      <c r="D43" s="12" t="s">
        <v>31</v>
      </c>
      <c r="E43" s="139" t="s">
        <v>34</v>
      </c>
      <c r="F43" s="139"/>
      <c r="G43" s="42" t="s">
        <v>124</v>
      </c>
    </row>
    <row r="44" spans="1:7" ht="15" customHeight="1">
      <c r="A44" s="135"/>
      <c r="B44" s="135"/>
      <c r="C44" s="135"/>
      <c r="D44" s="12" t="s">
        <v>33</v>
      </c>
      <c r="E44" s="139" t="s">
        <v>35</v>
      </c>
      <c r="F44" s="139"/>
      <c r="G44" s="136" t="s">
        <v>38</v>
      </c>
    </row>
    <row r="45" spans="1:7" ht="15" customHeight="1">
      <c r="A45" s="135"/>
      <c r="B45" s="135"/>
      <c r="C45" s="135"/>
      <c r="D45" s="12" t="s">
        <v>32</v>
      </c>
      <c r="E45" s="139" t="s">
        <v>36</v>
      </c>
      <c r="F45" s="139"/>
      <c r="G45" s="137"/>
    </row>
    <row r="46" spans="1:7" ht="44.25" customHeight="1">
      <c r="A46" s="131" t="s">
        <v>37</v>
      </c>
      <c r="B46" s="132"/>
      <c r="C46" s="132"/>
      <c r="D46" s="133"/>
      <c r="E46" s="129" t="str">
        <f>IF(A43&lt;=8,E43,IF(AND(A43&gt;=9,A43&lt;=18),E44,E45))</f>
        <v>Χαμηλό</v>
      </c>
      <c r="F46" s="130"/>
      <c r="G46" s="57" t="str">
        <f>IF(A43&gt;8,G44,G43)</f>
        <v>ΌΧΙ*</v>
      </c>
    </row>
    <row r="47" spans="1:7" ht="41.25" customHeight="1">
      <c r="A47" s="138" t="s">
        <v>125</v>
      </c>
      <c r="B47" s="138"/>
      <c r="C47" s="138"/>
      <c r="D47" s="138"/>
      <c r="E47" s="138"/>
      <c r="F47" s="138"/>
      <c r="G47" s="138"/>
    </row>
    <row r="48" spans="1:7">
      <c r="A48" s="44"/>
      <c r="B48" s="44"/>
      <c r="C48" s="44"/>
      <c r="D48" s="44"/>
      <c r="E48" s="44"/>
      <c r="F48" s="44"/>
      <c r="G48" s="44"/>
    </row>
    <row r="50" spans="1:7" ht="24">
      <c r="A50" s="189" t="s">
        <v>138</v>
      </c>
      <c r="B50" s="189"/>
      <c r="C50" s="189"/>
      <c r="D50" s="189"/>
      <c r="E50" s="189"/>
      <c r="F50" s="189"/>
      <c r="G50" s="189"/>
    </row>
    <row r="51" spans="1:7" ht="26.25">
      <c r="A51" s="117" t="s">
        <v>40</v>
      </c>
      <c r="B51" s="117"/>
      <c r="C51" s="117"/>
      <c r="D51" s="117"/>
      <c r="E51" s="117"/>
      <c r="F51" s="117"/>
      <c r="G51" s="117"/>
    </row>
    <row r="52" spans="1:7" ht="15.75">
      <c r="A52" s="149" t="s">
        <v>41</v>
      </c>
      <c r="B52" s="149"/>
      <c r="C52" s="149" t="s">
        <v>45</v>
      </c>
      <c r="D52" s="149"/>
      <c r="E52" s="149"/>
      <c r="F52" s="149"/>
      <c r="G52" s="14" t="s">
        <v>3</v>
      </c>
    </row>
    <row r="53" spans="1:7">
      <c r="A53" s="75" t="s">
        <v>126</v>
      </c>
      <c r="B53" s="77"/>
      <c r="C53" s="121" t="s">
        <v>126</v>
      </c>
      <c r="D53" s="121"/>
      <c r="E53" s="121"/>
      <c r="F53" s="121"/>
      <c r="G53" s="42" t="s">
        <v>126</v>
      </c>
    </row>
    <row r="54" spans="1:7">
      <c r="A54" s="75" t="s">
        <v>42</v>
      </c>
      <c r="B54" s="77"/>
      <c r="C54" s="121" t="s">
        <v>46</v>
      </c>
      <c r="D54" s="121"/>
      <c r="E54" s="121"/>
      <c r="F54" s="121"/>
      <c r="G54" s="42">
        <v>0</v>
      </c>
    </row>
    <row r="55" spans="1:7">
      <c r="A55" s="81" t="s">
        <v>35</v>
      </c>
      <c r="B55" s="82"/>
      <c r="C55" s="148" t="s">
        <v>47</v>
      </c>
      <c r="D55" s="148"/>
      <c r="E55" s="148"/>
      <c r="F55" s="148"/>
      <c r="G55" s="13">
        <v>2</v>
      </c>
    </row>
    <row r="56" spans="1:7">
      <c r="A56" s="75" t="s">
        <v>43</v>
      </c>
      <c r="B56" s="77"/>
      <c r="C56" s="121" t="s">
        <v>48</v>
      </c>
      <c r="D56" s="121"/>
      <c r="E56" s="121"/>
      <c r="F56" s="121"/>
      <c r="G56" s="42">
        <v>4</v>
      </c>
    </row>
    <row r="57" spans="1:7">
      <c r="A57" s="81" t="s">
        <v>44</v>
      </c>
      <c r="B57" s="82"/>
      <c r="C57" s="148" t="s">
        <v>49</v>
      </c>
      <c r="D57" s="148"/>
      <c r="E57" s="148"/>
      <c r="F57" s="148"/>
      <c r="G57" s="13">
        <v>6</v>
      </c>
    </row>
    <row r="58" spans="1:7" ht="18" customHeight="1">
      <c r="A58" s="113" t="s">
        <v>64</v>
      </c>
      <c r="B58" s="113"/>
      <c r="C58" s="113"/>
      <c r="D58" s="113"/>
      <c r="E58" s="113"/>
      <c r="F58" s="113"/>
      <c r="G58" s="41" t="s">
        <v>100</v>
      </c>
    </row>
    <row r="59" spans="1:7" s="56" customFormat="1" ht="26.25">
      <c r="A59" s="112" t="s">
        <v>42</v>
      </c>
      <c r="B59" s="112"/>
      <c r="C59" s="112"/>
      <c r="D59" s="112"/>
      <c r="E59" s="112"/>
      <c r="F59" s="112"/>
      <c r="G59" s="55">
        <f>VLOOKUP(A59,A53:G57,7,FALSE)</f>
        <v>0</v>
      </c>
    </row>
    <row r="60" spans="1:7" ht="22.5" customHeight="1"/>
    <row r="61" spans="1:7" ht="26.25">
      <c r="A61" s="117" t="s">
        <v>76</v>
      </c>
      <c r="B61" s="117"/>
      <c r="C61" s="117"/>
      <c r="D61" s="117"/>
      <c r="E61" s="117"/>
      <c r="F61" s="117"/>
      <c r="G61" s="117"/>
    </row>
    <row r="62" spans="1:7" ht="31.5">
      <c r="A62" s="58" t="s">
        <v>41</v>
      </c>
      <c r="B62" s="144" t="s">
        <v>17</v>
      </c>
      <c r="C62" s="145"/>
      <c r="D62" s="145"/>
      <c r="E62" s="145"/>
      <c r="F62" s="146"/>
      <c r="G62" s="54" t="s">
        <v>3</v>
      </c>
    </row>
    <row r="63" spans="1:7" ht="15.75">
      <c r="A63" s="15" t="s">
        <v>126</v>
      </c>
      <c r="B63" s="190" t="s">
        <v>126</v>
      </c>
      <c r="C63" s="191"/>
      <c r="D63" s="191"/>
      <c r="E63" s="191"/>
      <c r="F63" s="192"/>
      <c r="G63" s="14" t="s">
        <v>126</v>
      </c>
    </row>
    <row r="64" spans="1:7" ht="63.75" customHeight="1">
      <c r="A64" s="42" t="s">
        <v>50</v>
      </c>
      <c r="B64" s="123" t="s">
        <v>52</v>
      </c>
      <c r="C64" s="123"/>
      <c r="D64" s="123"/>
      <c r="E64" s="123"/>
      <c r="F64" s="123"/>
      <c r="G64" s="42">
        <v>0</v>
      </c>
    </row>
    <row r="65" spans="1:7" ht="62.25" customHeight="1">
      <c r="A65" s="13" t="s">
        <v>55</v>
      </c>
      <c r="B65" s="147" t="s">
        <v>53</v>
      </c>
      <c r="C65" s="147"/>
      <c r="D65" s="147"/>
      <c r="E65" s="147"/>
      <c r="F65" s="147"/>
      <c r="G65" s="13">
        <v>4</v>
      </c>
    </row>
    <row r="66" spans="1:7" ht="75.75" customHeight="1">
      <c r="A66" s="42" t="s">
        <v>51</v>
      </c>
      <c r="B66" s="123" t="s">
        <v>54</v>
      </c>
      <c r="C66" s="123"/>
      <c r="D66" s="123"/>
      <c r="E66" s="123"/>
      <c r="F66" s="123"/>
      <c r="G66" s="42">
        <v>6</v>
      </c>
    </row>
    <row r="67" spans="1:7" ht="41.25" customHeight="1">
      <c r="A67" s="140" t="s">
        <v>65</v>
      </c>
      <c r="B67" s="141"/>
      <c r="C67" s="141"/>
      <c r="D67" s="141"/>
      <c r="E67" s="141"/>
      <c r="F67" s="142"/>
      <c r="G67" s="50" t="s">
        <v>99</v>
      </c>
    </row>
    <row r="68" spans="1:7" s="56" customFormat="1" ht="26.25">
      <c r="A68" s="150" t="s">
        <v>126</v>
      </c>
      <c r="B68" s="151"/>
      <c r="C68" s="151"/>
      <c r="D68" s="151"/>
      <c r="E68" s="151"/>
      <c r="F68" s="152"/>
      <c r="G68" s="55" t="str">
        <f>VLOOKUP(A68,A63:G66,7,FALSE)</f>
        <v>-</v>
      </c>
    </row>
    <row r="71" spans="1:7" ht="27.75">
      <c r="A71" s="143" t="s">
        <v>75</v>
      </c>
      <c r="B71" s="143"/>
      <c r="C71" s="143"/>
      <c r="D71" s="143"/>
      <c r="E71" s="143"/>
      <c r="F71" s="143"/>
      <c r="G71" s="143"/>
    </row>
    <row r="72" spans="1:7" ht="51">
      <c r="A72" s="53" t="s">
        <v>41</v>
      </c>
      <c r="B72" s="53" t="s">
        <v>57</v>
      </c>
      <c r="C72" s="144" t="s">
        <v>60</v>
      </c>
      <c r="D72" s="145"/>
      <c r="E72" s="145"/>
      <c r="F72" s="146"/>
      <c r="G72" s="54" t="s">
        <v>3</v>
      </c>
    </row>
    <row r="73" spans="1:7" ht="15.75">
      <c r="A73" s="52" t="s">
        <v>126</v>
      </c>
      <c r="B73" s="52" t="s">
        <v>126</v>
      </c>
      <c r="C73" s="190" t="s">
        <v>126</v>
      </c>
      <c r="D73" s="191"/>
      <c r="E73" s="191"/>
      <c r="F73" s="192"/>
      <c r="G73" s="14" t="s">
        <v>126</v>
      </c>
    </row>
    <row r="74" spans="1:7" ht="45.75" customHeight="1">
      <c r="A74" s="42">
        <v>1</v>
      </c>
      <c r="B74" s="2" t="s">
        <v>56</v>
      </c>
      <c r="C74" s="123" t="s">
        <v>61</v>
      </c>
      <c r="D74" s="123"/>
      <c r="E74" s="123"/>
      <c r="F74" s="123"/>
      <c r="G74" s="42">
        <v>0</v>
      </c>
    </row>
    <row r="75" spans="1:7" ht="55.5" customHeight="1">
      <c r="A75" s="13">
        <v>2</v>
      </c>
      <c r="B75" s="16" t="s">
        <v>58</v>
      </c>
      <c r="C75" s="147" t="s">
        <v>62</v>
      </c>
      <c r="D75" s="147"/>
      <c r="E75" s="147"/>
      <c r="F75" s="147"/>
      <c r="G75" s="13">
        <v>4</v>
      </c>
    </row>
    <row r="76" spans="1:7" ht="42.75" customHeight="1">
      <c r="A76" s="42">
        <v>3</v>
      </c>
      <c r="B76" s="2" t="s">
        <v>59</v>
      </c>
      <c r="C76" s="123" t="s">
        <v>63</v>
      </c>
      <c r="D76" s="123"/>
      <c r="E76" s="123"/>
      <c r="F76" s="123"/>
      <c r="G76" s="42">
        <v>6</v>
      </c>
    </row>
    <row r="77" spans="1:7" ht="39" customHeight="1">
      <c r="A77" s="164" t="s">
        <v>66</v>
      </c>
      <c r="B77" s="164"/>
      <c r="C77" s="164"/>
      <c r="D77" s="164"/>
      <c r="E77" s="164"/>
      <c r="F77" s="164"/>
      <c r="G77" s="43" t="s">
        <v>96</v>
      </c>
    </row>
    <row r="78" spans="1:7" s="56" customFormat="1" ht="26.25">
      <c r="A78" s="150" t="s">
        <v>126</v>
      </c>
      <c r="B78" s="151"/>
      <c r="C78" s="151"/>
      <c r="D78" s="151"/>
      <c r="E78" s="151"/>
      <c r="F78" s="152"/>
      <c r="G78" s="55" t="str">
        <f>VLOOKUP(A78,A73:G76,7)</f>
        <v>-</v>
      </c>
    </row>
    <row r="80" spans="1:7" hidden="1"/>
    <row r="81" spans="1:7" ht="30">
      <c r="A81" s="124" t="s">
        <v>74</v>
      </c>
      <c r="B81" s="124"/>
      <c r="C81" s="124"/>
      <c r="D81" s="124"/>
      <c r="E81" s="124"/>
      <c r="F81" s="124"/>
      <c r="G81" s="124"/>
    </row>
    <row r="82" spans="1:7" ht="42" customHeight="1">
      <c r="A82" s="153" t="s">
        <v>67</v>
      </c>
      <c r="B82" s="153"/>
      <c r="C82" s="153"/>
      <c r="D82" s="153"/>
      <c r="E82" s="153"/>
      <c r="F82" s="153" t="s">
        <v>131</v>
      </c>
      <c r="G82" s="153"/>
    </row>
    <row r="83" spans="1:7" ht="15" customHeight="1">
      <c r="A83" s="155">
        <f>SUM(G29,G38,G59,G68,G78)</f>
        <v>0</v>
      </c>
      <c r="B83" s="156"/>
      <c r="C83" s="156"/>
      <c r="D83" s="156"/>
      <c r="E83" s="157"/>
      <c r="F83" s="12" t="s">
        <v>68</v>
      </c>
      <c r="G83" s="12" t="s">
        <v>34</v>
      </c>
    </row>
    <row r="84" spans="1:7" ht="15" customHeight="1">
      <c r="A84" s="158"/>
      <c r="B84" s="159"/>
      <c r="C84" s="159"/>
      <c r="D84" s="159"/>
      <c r="E84" s="160"/>
      <c r="F84" s="19" t="s">
        <v>69</v>
      </c>
      <c r="G84" s="19" t="s">
        <v>35</v>
      </c>
    </row>
    <row r="85" spans="1:7" ht="15" customHeight="1">
      <c r="A85" s="161"/>
      <c r="B85" s="162"/>
      <c r="C85" s="162"/>
      <c r="D85" s="162"/>
      <c r="E85" s="163"/>
      <c r="F85" s="12" t="s">
        <v>70</v>
      </c>
      <c r="G85" s="12" t="s">
        <v>36</v>
      </c>
    </row>
    <row r="86" spans="1:7" ht="44.25" customHeight="1">
      <c r="A86" s="154" t="s">
        <v>72</v>
      </c>
      <c r="B86" s="154"/>
      <c r="C86" s="154"/>
      <c r="D86" s="154"/>
      <c r="E86" s="154"/>
      <c r="F86" s="193" t="str">
        <f>IF(A83="-","-",IF(A83&lt;=14,G83,IF(AND(A83&gt;=15,A83&lt;=30),G84,G85)))</f>
        <v>Χαμηλό</v>
      </c>
      <c r="G86" s="193"/>
    </row>
    <row r="89" spans="1:7" ht="26.25">
      <c r="A89" s="117" t="s">
        <v>108</v>
      </c>
      <c r="B89" s="117"/>
      <c r="C89" s="117"/>
      <c r="D89" s="117"/>
      <c r="E89" s="117"/>
      <c r="F89" s="117"/>
      <c r="G89" s="117"/>
    </row>
    <row r="90" spans="1:7">
      <c r="A90" s="167" t="s">
        <v>127</v>
      </c>
      <c r="B90" s="167"/>
      <c r="C90" s="167"/>
      <c r="D90" s="167"/>
      <c r="E90" s="167" t="s">
        <v>103</v>
      </c>
      <c r="F90" s="167"/>
      <c r="G90" s="167"/>
    </row>
    <row r="91" spans="1:7">
      <c r="A91" s="169" t="s">
        <v>126</v>
      </c>
      <c r="B91" s="170"/>
      <c r="C91" s="170"/>
      <c r="D91" s="171"/>
      <c r="E91" s="169" t="s">
        <v>126</v>
      </c>
      <c r="F91" s="170"/>
      <c r="G91" s="171"/>
    </row>
    <row r="92" spans="1:7">
      <c r="A92" s="121" t="s">
        <v>34</v>
      </c>
      <c r="B92" s="121"/>
      <c r="C92" s="121"/>
      <c r="D92" s="121"/>
      <c r="E92" s="121" t="s">
        <v>132</v>
      </c>
      <c r="F92" s="121"/>
      <c r="G92" s="121"/>
    </row>
    <row r="93" spans="1:7">
      <c r="A93" s="165" t="s">
        <v>35</v>
      </c>
      <c r="B93" s="165"/>
      <c r="C93" s="165"/>
      <c r="D93" s="165"/>
      <c r="E93" s="165" t="s">
        <v>105</v>
      </c>
      <c r="F93" s="165"/>
      <c r="G93" s="165"/>
    </row>
    <row r="94" spans="1:7">
      <c r="A94" s="123" t="s">
        <v>36</v>
      </c>
      <c r="B94" s="123"/>
      <c r="C94" s="123"/>
      <c r="D94" s="123"/>
      <c r="E94" s="121" t="s">
        <v>106</v>
      </c>
      <c r="F94" s="121"/>
      <c r="G94" s="121"/>
    </row>
    <row r="95" spans="1:7" ht="15.75">
      <c r="A95" s="166" t="s">
        <v>107</v>
      </c>
      <c r="B95" s="166"/>
      <c r="C95" s="166"/>
      <c r="D95" s="166"/>
      <c r="E95" s="166"/>
      <c r="F95" s="166"/>
      <c r="G95" s="166"/>
    </row>
    <row r="96" spans="1:7" ht="37.5" customHeight="1">
      <c r="A96" s="113" t="s">
        <v>129</v>
      </c>
      <c r="B96" s="113"/>
      <c r="C96" s="113"/>
      <c r="D96" s="113"/>
      <c r="E96" s="187" t="s">
        <v>103</v>
      </c>
      <c r="F96" s="187"/>
      <c r="G96" s="187"/>
    </row>
    <row r="97" spans="1:7" ht="55.5" customHeight="1">
      <c r="A97" s="168" t="str">
        <f>F86</f>
        <v>Χαμηλό</v>
      </c>
      <c r="B97" s="168"/>
      <c r="C97" s="168"/>
      <c r="D97" s="168"/>
      <c r="E97" s="188" t="str">
        <f>VLOOKUP(A97,A91:G94,5,FALSE)</f>
        <v>Δεν πραγματοποιούνται έλεγχοι</v>
      </c>
      <c r="F97" s="188"/>
      <c r="G97" s="188"/>
    </row>
    <row r="100" spans="1:7" ht="24">
      <c r="A100" s="189" t="s">
        <v>134</v>
      </c>
      <c r="B100" s="189"/>
      <c r="C100" s="189"/>
      <c r="D100" s="189"/>
      <c r="E100" s="189"/>
      <c r="F100" s="189"/>
      <c r="G100" s="189"/>
    </row>
    <row r="101" spans="1:7" ht="26.25">
      <c r="A101" s="117" t="s">
        <v>73</v>
      </c>
      <c r="B101" s="117"/>
      <c r="C101" s="117"/>
      <c r="D101" s="117"/>
      <c r="E101" s="117"/>
      <c r="F101" s="117"/>
      <c r="G101" s="117"/>
    </row>
    <row r="102" spans="1:7" ht="24.75" customHeight="1">
      <c r="A102" s="186" t="s">
        <v>71</v>
      </c>
      <c r="B102" s="186"/>
      <c r="C102" s="186"/>
      <c r="D102" s="186"/>
      <c r="E102" s="186"/>
      <c r="F102" s="186"/>
      <c r="G102" s="26" t="s">
        <v>3</v>
      </c>
    </row>
    <row r="103" spans="1:7" ht="15.75">
      <c r="A103" s="72" t="s">
        <v>126</v>
      </c>
      <c r="B103" s="73"/>
      <c r="C103" s="73"/>
      <c r="D103" s="73"/>
      <c r="E103" s="73"/>
      <c r="F103" s="74"/>
      <c r="G103" s="26" t="s">
        <v>126</v>
      </c>
    </row>
    <row r="104" spans="1:7">
      <c r="A104" s="75" t="s">
        <v>50</v>
      </c>
      <c r="B104" s="76"/>
      <c r="C104" s="76"/>
      <c r="D104" s="76"/>
      <c r="E104" s="76"/>
      <c r="F104" s="77"/>
      <c r="G104" s="42">
        <v>0</v>
      </c>
    </row>
    <row r="105" spans="1:7">
      <c r="A105" s="78" t="s">
        <v>55</v>
      </c>
      <c r="B105" s="79"/>
      <c r="C105" s="79"/>
      <c r="D105" s="79"/>
      <c r="E105" s="79"/>
      <c r="F105" s="80"/>
      <c r="G105" s="24">
        <v>6</v>
      </c>
    </row>
    <row r="106" spans="1:7">
      <c r="A106" s="75" t="s">
        <v>51</v>
      </c>
      <c r="B106" s="76"/>
      <c r="C106" s="76"/>
      <c r="D106" s="76"/>
      <c r="E106" s="76"/>
      <c r="F106" s="77"/>
      <c r="G106" s="42">
        <v>12</v>
      </c>
    </row>
    <row r="107" spans="1:7" ht="47.25" customHeight="1">
      <c r="A107" s="185" t="s">
        <v>81</v>
      </c>
      <c r="B107" s="185"/>
      <c r="C107" s="185"/>
      <c r="D107" s="185"/>
      <c r="E107" s="185"/>
      <c r="F107" s="185"/>
      <c r="G107" s="27" t="s">
        <v>97</v>
      </c>
    </row>
    <row r="108" spans="1:7" ht="33.75">
      <c r="A108" s="150" t="s">
        <v>126</v>
      </c>
      <c r="B108" s="151"/>
      <c r="C108" s="151"/>
      <c r="D108" s="151"/>
      <c r="E108" s="151"/>
      <c r="F108" s="152"/>
      <c r="G108" s="40" t="str">
        <f>VLOOKUP(A108,A103:G106,7,FALSE)</f>
        <v>-</v>
      </c>
    </row>
    <row r="112" spans="1:7" ht="26.25">
      <c r="A112" s="117" t="s">
        <v>77</v>
      </c>
      <c r="B112" s="117"/>
      <c r="C112" s="117"/>
      <c r="D112" s="117"/>
      <c r="E112" s="117"/>
      <c r="F112" s="117"/>
      <c r="G112" s="117"/>
    </row>
    <row r="113" spans="1:7" ht="27.75" customHeight="1">
      <c r="A113" s="186" t="s">
        <v>77</v>
      </c>
      <c r="B113" s="186"/>
      <c r="C113" s="186"/>
      <c r="D113" s="186"/>
      <c r="E113" s="186"/>
      <c r="F113" s="186"/>
      <c r="G113" s="26" t="s">
        <v>3</v>
      </c>
    </row>
    <row r="114" spans="1:7" ht="15.75">
      <c r="A114" s="72" t="s">
        <v>126</v>
      </c>
      <c r="B114" s="73"/>
      <c r="C114" s="73"/>
      <c r="D114" s="73"/>
      <c r="E114" s="73"/>
      <c r="F114" s="74"/>
      <c r="G114" s="26" t="s">
        <v>126</v>
      </c>
    </row>
    <row r="115" spans="1:7">
      <c r="A115" s="75" t="s">
        <v>78</v>
      </c>
      <c r="B115" s="76"/>
      <c r="C115" s="76"/>
      <c r="D115" s="76"/>
      <c r="E115" s="76"/>
      <c r="F115" s="77"/>
      <c r="G115" s="42">
        <v>0</v>
      </c>
    </row>
    <row r="116" spans="1:7">
      <c r="A116" s="78" t="s">
        <v>79</v>
      </c>
      <c r="B116" s="79"/>
      <c r="C116" s="79"/>
      <c r="D116" s="79"/>
      <c r="E116" s="79"/>
      <c r="F116" s="80"/>
      <c r="G116" s="24">
        <v>3</v>
      </c>
    </row>
    <row r="117" spans="1:7">
      <c r="A117" s="75" t="s">
        <v>80</v>
      </c>
      <c r="B117" s="76"/>
      <c r="C117" s="76"/>
      <c r="D117" s="76"/>
      <c r="E117" s="76"/>
      <c r="F117" s="77"/>
      <c r="G117" s="42">
        <v>6</v>
      </c>
    </row>
    <row r="118" spans="1:7" ht="18">
      <c r="A118" s="184" t="s">
        <v>82</v>
      </c>
      <c r="B118" s="184"/>
      <c r="C118" s="184"/>
      <c r="D118" s="184"/>
      <c r="E118" s="184"/>
      <c r="F118" s="184"/>
      <c r="G118" s="27" t="s">
        <v>98</v>
      </c>
    </row>
    <row r="119" spans="1:7" ht="26.25">
      <c r="A119" s="150" t="s">
        <v>126</v>
      </c>
      <c r="B119" s="151"/>
      <c r="C119" s="151"/>
      <c r="D119" s="151"/>
      <c r="E119" s="151"/>
      <c r="F119" s="152"/>
      <c r="G119" s="55" t="str">
        <f>VLOOKUP(A119,A114:G117,7,FALSE)</f>
        <v>-</v>
      </c>
    </row>
    <row r="122" spans="1:7" ht="35.25" customHeight="1">
      <c r="A122" s="176" t="s">
        <v>84</v>
      </c>
      <c r="B122" s="176"/>
      <c r="C122" s="176"/>
      <c r="D122" s="176"/>
      <c r="E122" s="176"/>
      <c r="F122" s="176"/>
      <c r="G122" s="176"/>
    </row>
    <row r="123" spans="1:7" ht="135" customHeight="1">
      <c r="A123" s="153" t="s">
        <v>140</v>
      </c>
      <c r="B123" s="153"/>
      <c r="C123" s="153"/>
      <c r="D123" s="65" t="s">
        <v>94</v>
      </c>
      <c r="E123" s="153" t="s">
        <v>85</v>
      </c>
      <c r="F123" s="153"/>
      <c r="G123" s="59" t="s">
        <v>92</v>
      </c>
    </row>
    <row r="124" spans="1:7" ht="15" customHeight="1">
      <c r="A124" s="183" t="str">
        <f>IF(AND(G108="-",G119="-"),"-",IF(G119="-",SUM(A83,G108),SUM(A83,G108,G119)))</f>
        <v>-</v>
      </c>
      <c r="B124" s="183"/>
      <c r="C124" s="183"/>
      <c r="D124" s="63" t="s">
        <v>89</v>
      </c>
      <c r="E124" s="177" t="s">
        <v>86</v>
      </c>
      <c r="F124" s="178"/>
      <c r="G124" s="29" t="s">
        <v>34</v>
      </c>
    </row>
    <row r="125" spans="1:7" ht="15" customHeight="1">
      <c r="A125" s="183"/>
      <c r="B125" s="183"/>
      <c r="C125" s="183"/>
      <c r="D125" s="64" t="s">
        <v>90</v>
      </c>
      <c r="E125" s="179" t="s">
        <v>87</v>
      </c>
      <c r="F125" s="180"/>
      <c r="G125" s="31" t="s">
        <v>35</v>
      </c>
    </row>
    <row r="126" spans="1:7" ht="15" customHeight="1">
      <c r="A126" s="183"/>
      <c r="B126" s="183"/>
      <c r="C126" s="183"/>
      <c r="D126" s="63" t="s">
        <v>91</v>
      </c>
      <c r="E126" s="181" t="s">
        <v>88</v>
      </c>
      <c r="F126" s="182"/>
      <c r="G126" s="29" t="s">
        <v>36</v>
      </c>
    </row>
    <row r="127" spans="1:7" ht="53.25" customHeight="1">
      <c r="A127" s="154" t="s">
        <v>93</v>
      </c>
      <c r="B127" s="154"/>
      <c r="C127" s="154"/>
      <c r="D127" s="154"/>
      <c r="E127" s="154"/>
      <c r="F127" s="154"/>
      <c r="G127" s="62" t="str">
        <f>IF(A124="-","-",IF(G119="-",IF(A124&lt;=19,G124,IF(A124&gt;=40,G126,G125)),IF(A124&lt;=21,G124,IF(A124&gt;=44,G126,G125))))</f>
        <v>-</v>
      </c>
    </row>
    <row r="128" spans="1:7" ht="19.5" customHeight="1">
      <c r="A128" s="60"/>
      <c r="B128" s="60"/>
      <c r="C128" s="60"/>
      <c r="D128" s="60"/>
      <c r="E128" s="60"/>
      <c r="F128" s="60"/>
      <c r="G128" s="61"/>
    </row>
    <row r="131" spans="1:7" ht="26.25">
      <c r="A131" s="117" t="s">
        <v>139</v>
      </c>
      <c r="B131" s="117"/>
      <c r="C131" s="117"/>
      <c r="D131" s="117"/>
      <c r="E131" s="117"/>
      <c r="F131" s="117"/>
      <c r="G131" s="117"/>
    </row>
    <row r="132" spans="1:7">
      <c r="A132" s="167" t="s">
        <v>128</v>
      </c>
      <c r="B132" s="167"/>
      <c r="C132" s="167"/>
      <c r="D132" s="167"/>
      <c r="E132" s="167" t="s">
        <v>103</v>
      </c>
      <c r="F132" s="167"/>
      <c r="G132" s="167"/>
    </row>
    <row r="133" spans="1:7">
      <c r="A133" s="169" t="s">
        <v>126</v>
      </c>
      <c r="B133" s="170"/>
      <c r="C133" s="170"/>
      <c r="D133" s="171"/>
      <c r="E133" s="169" t="s">
        <v>126</v>
      </c>
      <c r="F133" s="170"/>
      <c r="G133" s="171"/>
    </row>
    <row r="134" spans="1:7">
      <c r="A134" s="121" t="s">
        <v>34</v>
      </c>
      <c r="B134" s="121"/>
      <c r="C134" s="121"/>
      <c r="D134" s="121"/>
      <c r="E134" s="121" t="s">
        <v>104</v>
      </c>
      <c r="F134" s="121"/>
      <c r="G134" s="121"/>
    </row>
    <row r="135" spans="1:7">
      <c r="A135" s="165" t="s">
        <v>35</v>
      </c>
      <c r="B135" s="165"/>
      <c r="C135" s="165"/>
      <c r="D135" s="165"/>
      <c r="E135" s="165" t="s">
        <v>105</v>
      </c>
      <c r="F135" s="165"/>
      <c r="G135" s="165"/>
    </row>
    <row r="136" spans="1:7">
      <c r="A136" s="121" t="s">
        <v>36</v>
      </c>
      <c r="B136" s="121"/>
      <c r="C136" s="121"/>
      <c r="D136" s="121"/>
      <c r="E136" s="121" t="s">
        <v>106</v>
      </c>
      <c r="F136" s="121"/>
      <c r="G136" s="121"/>
    </row>
    <row r="137" spans="1:7" ht="15.75">
      <c r="A137" s="166" t="s">
        <v>107</v>
      </c>
      <c r="B137" s="166"/>
      <c r="C137" s="166"/>
      <c r="D137" s="166"/>
      <c r="E137" s="166"/>
      <c r="F137" s="166"/>
      <c r="G137" s="166"/>
    </row>
    <row r="138" spans="1:7" ht="60" customHeight="1">
      <c r="A138" s="113" t="s">
        <v>130</v>
      </c>
      <c r="B138" s="113"/>
      <c r="C138" s="113"/>
      <c r="D138" s="113"/>
      <c r="E138" s="187" t="s">
        <v>103</v>
      </c>
      <c r="F138" s="187"/>
      <c r="G138" s="187"/>
    </row>
    <row r="139" spans="1:7" ht="54.75" customHeight="1">
      <c r="A139" s="206" t="str">
        <f>G127</f>
        <v>-</v>
      </c>
      <c r="B139" s="206"/>
      <c r="C139" s="206"/>
      <c r="D139" s="206"/>
      <c r="E139" s="217" t="str">
        <f>VLOOKUP(A139,A133:G136,5,FALSE)</f>
        <v>-</v>
      </c>
      <c r="F139" s="217"/>
      <c r="G139" s="217"/>
    </row>
    <row r="142" spans="1:7" ht="15.75" thickBot="1"/>
    <row r="143" spans="1:7" ht="24" customHeight="1" thickBot="1">
      <c r="A143" s="200" t="s">
        <v>141</v>
      </c>
      <c r="B143" s="201"/>
      <c r="C143" s="201"/>
      <c r="D143" s="201"/>
      <c r="E143" s="202">
        <f>E4</f>
        <v>0</v>
      </c>
      <c r="F143" s="202"/>
      <c r="G143" s="203"/>
    </row>
    <row r="144" spans="1:7" ht="15.75" customHeight="1" thickBot="1">
      <c r="A144" s="207" t="s">
        <v>135</v>
      </c>
      <c r="B144" s="208"/>
      <c r="C144" s="208"/>
      <c r="D144" s="208"/>
      <c r="E144" s="208"/>
      <c r="F144" s="208"/>
      <c r="G144" s="209"/>
    </row>
    <row r="145" spans="1:7" ht="37.5" customHeight="1" thickBot="1">
      <c r="A145" s="210" t="s">
        <v>136</v>
      </c>
      <c r="B145" s="211"/>
      <c r="C145" s="211"/>
      <c r="D145" s="211"/>
      <c r="E145" s="212" t="s">
        <v>137</v>
      </c>
      <c r="F145" s="212"/>
      <c r="G145" s="213"/>
    </row>
    <row r="146" spans="1:7" ht="30.75" customHeight="1" thickBot="1">
      <c r="A146" s="204">
        <f>G4</f>
        <v>0</v>
      </c>
      <c r="B146" s="205"/>
      <c r="C146" s="205"/>
      <c r="D146" s="205"/>
      <c r="E146" s="214">
        <f>G4</f>
        <v>0</v>
      </c>
      <c r="F146" s="215"/>
      <c r="G146" s="216"/>
    </row>
    <row r="147" spans="1:7" ht="14.25" customHeight="1">
      <c r="A147" s="66" t="s">
        <v>143</v>
      </c>
      <c r="B147" s="67"/>
      <c r="C147" s="67"/>
      <c r="D147" s="67"/>
      <c r="E147" s="194" t="s">
        <v>144</v>
      </c>
      <c r="F147" s="194"/>
      <c r="G147" s="195"/>
    </row>
    <row r="148" spans="1:7" ht="14.25" customHeight="1">
      <c r="A148" s="68"/>
      <c r="B148" s="69"/>
      <c r="C148" s="69"/>
      <c r="D148" s="69"/>
      <c r="E148" s="196"/>
      <c r="F148" s="196"/>
      <c r="G148" s="197"/>
    </row>
    <row r="149" spans="1:7" ht="14.25" customHeight="1">
      <c r="A149" s="68"/>
      <c r="B149" s="69"/>
      <c r="C149" s="69"/>
      <c r="D149" s="69"/>
      <c r="E149" s="196"/>
      <c r="F149" s="196"/>
      <c r="G149" s="197"/>
    </row>
    <row r="150" spans="1:7" ht="14.25" customHeight="1">
      <c r="A150" s="68"/>
      <c r="B150" s="69"/>
      <c r="C150" s="69"/>
      <c r="D150" s="69"/>
      <c r="E150" s="196"/>
      <c r="F150" s="196"/>
      <c r="G150" s="197"/>
    </row>
    <row r="151" spans="1:7" ht="15" customHeight="1" thickBot="1">
      <c r="A151" s="70"/>
      <c r="B151" s="71"/>
      <c r="C151" s="71"/>
      <c r="D151" s="71"/>
      <c r="E151" s="198"/>
      <c r="F151" s="198"/>
      <c r="G151" s="199"/>
    </row>
  </sheetData>
  <mergeCells count="147">
    <mergeCell ref="E147:G151"/>
    <mergeCell ref="A143:D143"/>
    <mergeCell ref="E143:G143"/>
    <mergeCell ref="A127:F127"/>
    <mergeCell ref="E136:G136"/>
    <mergeCell ref="A133:D133"/>
    <mergeCell ref="E133:G133"/>
    <mergeCell ref="A146:D146"/>
    <mergeCell ref="A139:D139"/>
    <mergeCell ref="A144:G144"/>
    <mergeCell ref="A145:D145"/>
    <mergeCell ref="E145:G145"/>
    <mergeCell ref="E146:G146"/>
    <mergeCell ref="E138:G138"/>
    <mergeCell ref="E139:G139"/>
    <mergeCell ref="A131:G131"/>
    <mergeCell ref="A132:D132"/>
    <mergeCell ref="A134:D134"/>
    <mergeCell ref="A50:G50"/>
    <mergeCell ref="C54:F54"/>
    <mergeCell ref="B63:F63"/>
    <mergeCell ref="C73:F73"/>
    <mergeCell ref="F82:G82"/>
    <mergeCell ref="F86:G86"/>
    <mergeCell ref="A108:F108"/>
    <mergeCell ref="A138:D138"/>
    <mergeCell ref="E132:G132"/>
    <mergeCell ref="E134:G134"/>
    <mergeCell ref="E135:G135"/>
    <mergeCell ref="A100:G100"/>
    <mergeCell ref="A118:F118"/>
    <mergeCell ref="A119:F119"/>
    <mergeCell ref="A107:F107"/>
    <mergeCell ref="A113:F113"/>
    <mergeCell ref="A112:G112"/>
    <mergeCell ref="A102:F102"/>
    <mergeCell ref="E96:G96"/>
    <mergeCell ref="E97:G97"/>
    <mergeCell ref="A101:G101"/>
    <mergeCell ref="A135:D135"/>
    <mergeCell ref="A136:D136"/>
    <mergeCell ref="A137:G137"/>
    <mergeCell ref="A89:G89"/>
    <mergeCell ref="A90:D90"/>
    <mergeCell ref="A92:D92"/>
    <mergeCell ref="A93:D93"/>
    <mergeCell ref="A94:D94"/>
    <mergeCell ref="A95:G95"/>
    <mergeCell ref="A96:D96"/>
    <mergeCell ref="A97:D97"/>
    <mergeCell ref="A91:D91"/>
    <mergeCell ref="E90:G90"/>
    <mergeCell ref="E92:G92"/>
    <mergeCell ref="E93:G93"/>
    <mergeCell ref="E94:G94"/>
    <mergeCell ref="E91:G91"/>
    <mergeCell ref="A122:G122"/>
    <mergeCell ref="E123:F123"/>
    <mergeCell ref="E124:F124"/>
    <mergeCell ref="E125:F125"/>
    <mergeCell ref="E126:F126"/>
    <mergeCell ref="A123:C123"/>
    <mergeCell ref="A124:C126"/>
    <mergeCell ref="A82:E82"/>
    <mergeCell ref="A86:E86"/>
    <mergeCell ref="A83:E85"/>
    <mergeCell ref="A81:G81"/>
    <mergeCell ref="C72:F72"/>
    <mergeCell ref="C74:F74"/>
    <mergeCell ref="C75:F75"/>
    <mergeCell ref="C76:F76"/>
    <mergeCell ref="A77:F77"/>
    <mergeCell ref="A78:F78"/>
    <mergeCell ref="A67:F67"/>
    <mergeCell ref="A61:G61"/>
    <mergeCell ref="A71:G71"/>
    <mergeCell ref="A51:G51"/>
    <mergeCell ref="A58:F58"/>
    <mergeCell ref="A59:F59"/>
    <mergeCell ref="B62:F62"/>
    <mergeCell ref="B64:F64"/>
    <mergeCell ref="B65:F65"/>
    <mergeCell ref="B66:F66"/>
    <mergeCell ref="C55:F55"/>
    <mergeCell ref="C56:F56"/>
    <mergeCell ref="C57:F57"/>
    <mergeCell ref="A52:B52"/>
    <mergeCell ref="C52:F52"/>
    <mergeCell ref="C53:F53"/>
    <mergeCell ref="A68:F68"/>
    <mergeCell ref="D42:F42"/>
    <mergeCell ref="E46:F46"/>
    <mergeCell ref="A46:D46"/>
    <mergeCell ref="A42:C42"/>
    <mergeCell ref="A43:C45"/>
    <mergeCell ref="G44:G45"/>
    <mergeCell ref="A47:G47"/>
    <mergeCell ref="E43:F43"/>
    <mergeCell ref="E44:F44"/>
    <mergeCell ref="E45:F45"/>
    <mergeCell ref="A41:G41"/>
    <mergeCell ref="B27:F27"/>
    <mergeCell ref="A29:F29"/>
    <mergeCell ref="A31:G31"/>
    <mergeCell ref="C32:F32"/>
    <mergeCell ref="C33:F33"/>
    <mergeCell ref="C34:F34"/>
    <mergeCell ref="C35:F35"/>
    <mergeCell ref="A28:F28"/>
    <mergeCell ref="A15:D15"/>
    <mergeCell ref="D4:D5"/>
    <mergeCell ref="E15:G15"/>
    <mergeCell ref="A16:D16"/>
    <mergeCell ref="E16:G16"/>
    <mergeCell ref="A17:D17"/>
    <mergeCell ref="C36:F36"/>
    <mergeCell ref="A38:F38"/>
    <mergeCell ref="A37:F37"/>
    <mergeCell ref="A6:C6"/>
    <mergeCell ref="E17:G17"/>
    <mergeCell ref="A20:G20"/>
    <mergeCell ref="B21:F21"/>
    <mergeCell ref="B22:F22"/>
    <mergeCell ref="B23:F23"/>
    <mergeCell ref="B24:F24"/>
    <mergeCell ref="B25:F25"/>
    <mergeCell ref="B26:F26"/>
    <mergeCell ref="A12:D12"/>
    <mergeCell ref="E12:G12"/>
    <mergeCell ref="A13:D13"/>
    <mergeCell ref="E13:G13"/>
    <mergeCell ref="A14:D14"/>
    <mergeCell ref="E14:G14"/>
    <mergeCell ref="A1:C3"/>
    <mergeCell ref="D1:G3"/>
    <mergeCell ref="A4:C4"/>
    <mergeCell ref="A5:C5"/>
    <mergeCell ref="A9:D9"/>
    <mergeCell ref="E9:G9"/>
    <mergeCell ref="A10:D10"/>
    <mergeCell ref="E10:G10"/>
    <mergeCell ref="A11:D11"/>
    <mergeCell ref="E11:G11"/>
    <mergeCell ref="E4:E5"/>
    <mergeCell ref="D6:G6"/>
    <mergeCell ref="F4:F5"/>
    <mergeCell ref="G4:G5"/>
  </mergeCells>
  <dataValidations count="8">
    <dataValidation type="list" allowBlank="1" showInputMessage="1" showErrorMessage="1" sqref="A29">
      <formula1>A22:A27</formula1>
    </dataValidation>
    <dataValidation type="list" allowBlank="1" showInputMessage="1" showErrorMessage="1" sqref="A38">
      <formula1>A33:A36</formula1>
    </dataValidation>
    <dataValidation type="list" allowBlank="1" showInputMessage="1" showErrorMessage="1" sqref="A59:F59">
      <formula1>PLITHOS</formula1>
    </dataValidation>
    <dataValidation type="list" allowBlank="1" showInputMessage="1" showErrorMessage="1" sqref="A134:A136 A92:A94">
      <formula1>$A$3:$A$5</formula1>
    </dataValidation>
    <dataValidation type="list" allowBlank="1" showInputMessage="1" showErrorMessage="1" sqref="A68:F68">
      <formula1>ktiriaki_pol</formula1>
    </dataValidation>
    <dataValidation type="list" allowBlank="1" showInputMessage="1" showErrorMessage="1" sqref="A108:F108">
      <formula1>ASS</formula1>
    </dataValidation>
    <dataValidation type="list" allowBlank="1" showInputMessage="1" showErrorMessage="1" sqref="A119:F119">
      <formula1>ISTORIKO_SYM</formula1>
    </dataValidation>
    <dataValidation type="list" allowBlank="1" showInputMessage="1" showErrorMessage="1" sqref="A78:F78">
      <formula1>metadosi</formula1>
    </dataValidation>
  </dataValidations>
  <pageMargins left="0.7" right="0.7" top="0.75" bottom="0.75" header="0.3" footer="0.3"/>
  <pageSetup paperSize="9" scale="91" fitToHeight="0" orientation="portrait" r:id="rId1"/>
  <rowBreaks count="5" manualBreakCount="5">
    <brk id="18" max="16383" man="1"/>
    <brk id="40" max="16383" man="1"/>
    <brk id="69" max="16383" man="1"/>
    <brk id="98" max="16383" man="1"/>
    <brk id="12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view="pageBreakPreview" zoomScale="60" zoomScaleNormal="100" workbookViewId="0">
      <selection activeCell="A16" sqref="A16"/>
    </sheetView>
  </sheetViews>
  <sheetFormatPr defaultRowHeight="15"/>
  <cols>
    <col min="1" max="1" width="69.42578125" customWidth="1"/>
    <col min="3" max="3" width="14.42578125" customWidth="1"/>
    <col min="4" max="4" width="16" customWidth="1"/>
  </cols>
  <sheetData>
    <row r="1" spans="1:4" ht="34.5">
      <c r="A1" s="224" t="s">
        <v>108</v>
      </c>
      <c r="B1" s="224"/>
      <c r="C1" s="224"/>
      <c r="D1" s="224"/>
    </row>
    <row r="2" spans="1:4">
      <c r="A2" s="34" t="s">
        <v>127</v>
      </c>
      <c r="B2" s="169" t="s">
        <v>103</v>
      </c>
      <c r="C2" s="170"/>
      <c r="D2" s="171"/>
    </row>
    <row r="3" spans="1:4">
      <c r="A3" s="38" t="s">
        <v>34</v>
      </c>
      <c r="B3" s="225" t="s">
        <v>132</v>
      </c>
      <c r="C3" s="226"/>
      <c r="D3" s="227"/>
    </row>
    <row r="4" spans="1:4">
      <c r="A4" s="35" t="s">
        <v>35</v>
      </c>
      <c r="B4" s="228" t="s">
        <v>105</v>
      </c>
      <c r="C4" s="229"/>
      <c r="D4" s="230"/>
    </row>
    <row r="5" spans="1:4">
      <c r="A5" s="38" t="s">
        <v>36</v>
      </c>
      <c r="B5" s="225" t="s">
        <v>106</v>
      </c>
      <c r="C5" s="226"/>
      <c r="D5" s="227"/>
    </row>
    <row r="6" spans="1:4" ht="15.75">
      <c r="A6" s="166" t="s">
        <v>107</v>
      </c>
      <c r="B6" s="166"/>
      <c r="C6" s="166"/>
      <c r="D6" s="166"/>
    </row>
    <row r="7" spans="1:4" ht="36">
      <c r="A7" s="39" t="s">
        <v>129</v>
      </c>
      <c r="B7" s="218" t="s">
        <v>103</v>
      </c>
      <c r="C7" s="219"/>
      <c r="D7" s="220"/>
    </row>
    <row r="8" spans="1:4" ht="84" customHeight="1">
      <c r="A8" s="36" t="str">
        <f>'Δ2 ΑΡΧΙΚΗ ΑΞΙΟΛΟΓΗΣΗ'!B6</f>
        <v>Υψηλό</v>
      </c>
      <c r="B8" s="221" t="str">
        <f>IF(A8=A3,B3,IF(A8=A4,B4,B5))</f>
        <v>Κάθε 12 μήνες</v>
      </c>
      <c r="C8" s="222"/>
      <c r="D8" s="223"/>
    </row>
  </sheetData>
  <mergeCells count="8">
    <mergeCell ref="B7:D7"/>
    <mergeCell ref="B8:D8"/>
    <mergeCell ref="A1:D1"/>
    <mergeCell ref="B2:D2"/>
    <mergeCell ref="B3:D3"/>
    <mergeCell ref="B4:D4"/>
    <mergeCell ref="B5:D5"/>
    <mergeCell ref="A6:D6"/>
  </mergeCells>
  <dataValidations count="1">
    <dataValidation type="list" allowBlank="1" showInputMessage="1" showErrorMessage="1" sqref="A3:A5">
      <formula1>$A$3:$A$5</formula1>
    </dataValidation>
  </dataValidations>
  <pageMargins left="0.7" right="0.7" top="0.75" bottom="0.75" header="0.3" footer="0.3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0"/>
  <sheetViews>
    <sheetView showGridLines="0" view="pageBreakPreview" zoomScale="60" zoomScaleNormal="145" workbookViewId="0">
      <selection activeCell="D61" sqref="D60:D61"/>
    </sheetView>
  </sheetViews>
  <sheetFormatPr defaultRowHeight="15"/>
  <cols>
    <col min="1" max="1" width="19.85546875" customWidth="1"/>
    <col min="2" max="2" width="69.7109375" customWidth="1"/>
    <col min="3" max="3" width="19" bestFit="1" customWidth="1"/>
  </cols>
  <sheetData>
    <row r="1" spans="1:3" ht="30" customHeight="1">
      <c r="A1" s="232" t="s">
        <v>0</v>
      </c>
      <c r="B1" s="232"/>
      <c r="C1" s="232"/>
    </row>
    <row r="2" spans="1:3" ht="30" customHeight="1">
      <c r="A2" s="7" t="s">
        <v>1</v>
      </c>
      <c r="B2" s="6" t="s">
        <v>2</v>
      </c>
      <c r="C2" s="6" t="s">
        <v>3</v>
      </c>
    </row>
    <row r="3" spans="1:3">
      <c r="A3" s="1" t="s">
        <v>4</v>
      </c>
      <c r="B3" s="1" t="s">
        <v>10</v>
      </c>
      <c r="C3" s="1">
        <v>0</v>
      </c>
    </row>
    <row r="4" spans="1:3">
      <c r="A4" s="5" t="s">
        <v>5</v>
      </c>
      <c r="B4" s="5" t="s">
        <v>23</v>
      </c>
      <c r="C4" s="5">
        <v>8</v>
      </c>
    </row>
    <row r="5" spans="1:3">
      <c r="A5" s="1" t="s">
        <v>6</v>
      </c>
      <c r="B5" s="1" t="s">
        <v>11</v>
      </c>
      <c r="C5" s="1">
        <v>4</v>
      </c>
    </row>
    <row r="6" spans="1:3">
      <c r="A6" s="5" t="s">
        <v>7</v>
      </c>
      <c r="B6" s="5" t="s">
        <v>11</v>
      </c>
      <c r="C6" s="5">
        <v>12</v>
      </c>
    </row>
    <row r="7" spans="1:3" ht="34.5" customHeight="1">
      <c r="A7" s="1" t="s">
        <v>8</v>
      </c>
      <c r="B7" s="2" t="s">
        <v>12</v>
      </c>
      <c r="C7" s="1">
        <v>12</v>
      </c>
    </row>
    <row r="8" spans="1:3" ht="28.5">
      <c r="A8" s="5" t="s">
        <v>9</v>
      </c>
      <c r="B8" s="8" t="s">
        <v>13</v>
      </c>
      <c r="C8" s="5">
        <v>16</v>
      </c>
    </row>
    <row r="9" spans="1:3" ht="18">
      <c r="A9" s="187" t="s">
        <v>14</v>
      </c>
      <c r="B9" s="187"/>
      <c r="C9" s="10" t="s">
        <v>102</v>
      </c>
    </row>
    <row r="10" spans="1:3" ht="33.75">
      <c r="A10" s="231" t="s">
        <v>9</v>
      </c>
      <c r="B10" s="231"/>
      <c r="C10" s="9">
        <f>IF($A$10=$A$3,$C$3,IF($A$10=$A$4,$C$4,IF($A$10=$A$5,$C$5,IF($A$10=$A$6,$C$6,IF($A$10=$A$7,$C$7,$C$8)))))</f>
        <v>16</v>
      </c>
    </row>
  </sheetData>
  <mergeCells count="3">
    <mergeCell ref="A10:B10"/>
    <mergeCell ref="A1:C1"/>
    <mergeCell ref="A9:B9"/>
  </mergeCells>
  <dataValidations count="1">
    <dataValidation type="list" allowBlank="1" showInputMessage="1" showErrorMessage="1" sqref="A10:B10">
      <formula1>A3:A8</formula1>
    </dataValidation>
  </dataValidations>
  <pageMargins left="0.7" right="0.7" top="0.75" bottom="0.75" header="0.3" footer="0.3"/>
  <pageSetup paperSize="9" scale="8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8"/>
  <sheetViews>
    <sheetView showGridLines="0" view="pageBreakPreview" zoomScale="60" zoomScaleNormal="145" workbookViewId="0">
      <selection sqref="A1:D8"/>
    </sheetView>
  </sheetViews>
  <sheetFormatPr defaultRowHeight="15"/>
  <cols>
    <col min="1" max="2" width="14" customWidth="1"/>
    <col min="3" max="3" width="66.85546875" customWidth="1"/>
    <col min="4" max="4" width="20.42578125" customWidth="1"/>
  </cols>
  <sheetData>
    <row r="1" spans="1:4" ht="34.5">
      <c r="A1" s="224" t="s">
        <v>24</v>
      </c>
      <c r="B1" s="224"/>
      <c r="C1" s="224"/>
      <c r="D1" s="224"/>
    </row>
    <row r="2" spans="1:4" ht="66.75" customHeight="1">
      <c r="A2" s="7" t="s">
        <v>15</v>
      </c>
      <c r="B2" s="7" t="s">
        <v>16</v>
      </c>
      <c r="C2" s="6" t="s">
        <v>17</v>
      </c>
      <c r="D2" s="6" t="s">
        <v>3</v>
      </c>
    </row>
    <row r="3" spans="1:4" ht="57">
      <c r="A3" s="1">
        <v>1</v>
      </c>
      <c r="B3" s="1" t="s">
        <v>18</v>
      </c>
      <c r="C3" s="2" t="s">
        <v>22</v>
      </c>
      <c r="D3" s="1">
        <v>0</v>
      </c>
    </row>
    <row r="4" spans="1:4" ht="62.25" customHeight="1">
      <c r="A4" s="5">
        <v>2</v>
      </c>
      <c r="B4" s="5" t="s">
        <v>19</v>
      </c>
      <c r="C4" s="8" t="s">
        <v>25</v>
      </c>
      <c r="D4" s="5">
        <v>4</v>
      </c>
    </row>
    <row r="5" spans="1:4" ht="57">
      <c r="A5" s="1">
        <v>3</v>
      </c>
      <c r="B5" s="1" t="s">
        <v>20</v>
      </c>
      <c r="C5" s="2" t="s">
        <v>26</v>
      </c>
      <c r="D5" s="1">
        <v>8</v>
      </c>
    </row>
    <row r="6" spans="1:4" ht="51.75" customHeight="1">
      <c r="A6" s="5">
        <v>4</v>
      </c>
      <c r="B6" s="5" t="s">
        <v>21</v>
      </c>
      <c r="C6" s="8" t="s">
        <v>27</v>
      </c>
      <c r="D6" s="5">
        <v>12</v>
      </c>
    </row>
    <row r="7" spans="1:4" ht="33.75" customHeight="1">
      <c r="A7" s="125" t="s">
        <v>14</v>
      </c>
      <c r="B7" s="126"/>
      <c r="C7" s="127"/>
      <c r="D7" s="10" t="s">
        <v>101</v>
      </c>
    </row>
    <row r="8" spans="1:4" ht="33.75">
      <c r="A8" s="233">
        <v>4</v>
      </c>
      <c r="B8" s="234"/>
      <c r="C8" s="235"/>
      <c r="D8" s="37">
        <f>IF(A8=A3,D3,IF(A8=A4,D4,IF(A8=A5,D5,D6)))</f>
        <v>12</v>
      </c>
    </row>
  </sheetData>
  <mergeCells count="3">
    <mergeCell ref="A1:D1"/>
    <mergeCell ref="A7:C7"/>
    <mergeCell ref="A8:C8"/>
  </mergeCells>
  <dataValidations count="1">
    <dataValidation type="list" allowBlank="1" showInputMessage="1" showErrorMessage="1" sqref="A8:C8">
      <formula1>A3:A6</formula1>
    </dataValidation>
  </dataValidations>
  <pageMargins left="0.7" right="0.7" top="0.75" bottom="0.75" header="0.3" footer="0.3"/>
  <pageSetup paperSize="9" scale="7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view="pageBreakPreview" zoomScale="60" zoomScaleNormal="115" workbookViewId="0">
      <selection activeCell="H34" sqref="H34"/>
    </sheetView>
  </sheetViews>
  <sheetFormatPr defaultColWidth="9.140625" defaultRowHeight="15"/>
  <cols>
    <col min="1" max="1" width="31.5703125" style="20" customWidth="1"/>
    <col min="2" max="2" width="31.28515625" style="20" customWidth="1"/>
    <col min="3" max="3" width="20.7109375" style="20" customWidth="1"/>
    <col min="4" max="6" width="9.140625" style="20"/>
    <col min="7" max="7" width="17.5703125" style="20" customWidth="1"/>
    <col min="8" max="16384" width="9.140625" style="20"/>
  </cols>
  <sheetData>
    <row r="1" spans="1:7" ht="33">
      <c r="A1" s="239" t="s">
        <v>39</v>
      </c>
      <c r="B1" s="239"/>
      <c r="C1" s="239"/>
      <c r="D1" s="239"/>
      <c r="E1" s="239"/>
      <c r="F1" s="239"/>
      <c r="G1" s="239"/>
    </row>
    <row r="2" spans="1:7" ht="51" customHeight="1">
      <c r="A2" s="11" t="s">
        <v>28</v>
      </c>
      <c r="B2" s="128" t="s">
        <v>29</v>
      </c>
      <c r="C2" s="128"/>
      <c r="D2" s="128" t="s">
        <v>30</v>
      </c>
      <c r="E2" s="128"/>
      <c r="F2" s="128"/>
      <c r="G2" s="128"/>
    </row>
    <row r="3" spans="1:7">
      <c r="A3" s="135">
        <f>SUM('Β1 ΤΥΠΟΣ ΠΛΗΡΟΤΗΤΑΣ'!C10+'B2 ΡΥΘΜΟΣ ΑΝΑΠΤΥΞΗΣ ΠΥΡΚΑΓΙΑΣ'!D8)</f>
        <v>28</v>
      </c>
      <c r="B3" s="12" t="s">
        <v>31</v>
      </c>
      <c r="C3" s="12" t="s">
        <v>34</v>
      </c>
      <c r="D3" s="121" t="s">
        <v>124</v>
      </c>
      <c r="E3" s="121"/>
      <c r="F3" s="121"/>
      <c r="G3" s="121"/>
    </row>
    <row r="4" spans="1:7">
      <c r="A4" s="135"/>
      <c r="B4" s="12" t="s">
        <v>33</v>
      </c>
      <c r="C4" s="12" t="s">
        <v>35</v>
      </c>
      <c r="D4" s="121" t="s">
        <v>38</v>
      </c>
      <c r="E4" s="121"/>
      <c r="F4" s="121"/>
      <c r="G4" s="121"/>
    </row>
    <row r="5" spans="1:7">
      <c r="A5" s="135"/>
      <c r="B5" s="12" t="s">
        <v>32</v>
      </c>
      <c r="C5" s="12" t="s">
        <v>36</v>
      </c>
      <c r="D5" s="121"/>
      <c r="E5" s="121"/>
      <c r="F5" s="121"/>
      <c r="G5" s="121"/>
    </row>
    <row r="6" spans="1:7" ht="33.75">
      <c r="A6" s="238" t="s">
        <v>37</v>
      </c>
      <c r="B6" s="238"/>
      <c r="C6" s="9" t="str">
        <f>IF($A$3&lt;=8,$C$3,IF($A$3&lt;=18,$C$4,$C$5))</f>
        <v>Υψηλό</v>
      </c>
      <c r="D6" s="231" t="str">
        <f>IF($A$3&lt;=8,$D$3,$D$4)</f>
        <v>ΝΑΙ</v>
      </c>
      <c r="E6" s="231"/>
      <c r="F6" s="231"/>
      <c r="G6" s="231"/>
    </row>
    <row r="7" spans="1:7" ht="42" customHeight="1">
      <c r="A7" s="236" t="s">
        <v>125</v>
      </c>
      <c r="B7" s="237"/>
      <c r="C7" s="237"/>
      <c r="D7" s="237"/>
      <c r="E7" s="237"/>
      <c r="F7" s="237"/>
      <c r="G7" s="237"/>
    </row>
    <row r="9" spans="1:7" ht="66.75" customHeight="1"/>
  </sheetData>
  <mergeCells count="9">
    <mergeCell ref="A7:G7"/>
    <mergeCell ref="A6:B6"/>
    <mergeCell ref="D6:G6"/>
    <mergeCell ref="A1:G1"/>
    <mergeCell ref="B2:C2"/>
    <mergeCell ref="A3:A5"/>
    <mergeCell ref="D2:G2"/>
    <mergeCell ref="D3:G3"/>
    <mergeCell ref="D4:G5"/>
  </mergeCells>
  <pageMargins left="0.7" right="0.7" top="0.75" bottom="0.75" header="0.3" footer="0.3"/>
  <pageSetup paperSize="9"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showGridLines="0" view="pageBreakPreview" zoomScale="60" zoomScaleNormal="115" workbookViewId="0">
      <selection sqref="A1:C8"/>
    </sheetView>
  </sheetViews>
  <sheetFormatPr defaultColWidth="9.140625" defaultRowHeight="15"/>
  <cols>
    <col min="1" max="1" width="29.42578125" style="20" customWidth="1"/>
    <col min="2" max="2" width="53.28515625" style="20" customWidth="1"/>
    <col min="3" max="3" width="40.28515625" style="20" customWidth="1"/>
    <col min="4" max="16384" width="9.140625" style="20"/>
  </cols>
  <sheetData>
    <row r="1" spans="1:3" ht="34.5">
      <c r="A1" s="240" t="s">
        <v>40</v>
      </c>
      <c r="B1" s="240"/>
      <c r="C1" s="240"/>
    </row>
    <row r="2" spans="1:3" ht="15.75">
      <c r="A2" s="15" t="s">
        <v>41</v>
      </c>
      <c r="B2" s="15" t="s">
        <v>45</v>
      </c>
      <c r="C2" s="14" t="s">
        <v>3</v>
      </c>
    </row>
    <row r="3" spans="1:3" ht="27.75" customHeight="1">
      <c r="A3" s="1" t="s">
        <v>42</v>
      </c>
      <c r="B3" s="1" t="s">
        <v>46</v>
      </c>
      <c r="C3" s="1">
        <v>0</v>
      </c>
    </row>
    <row r="4" spans="1:3" ht="27.75" customHeight="1">
      <c r="A4" s="13" t="s">
        <v>35</v>
      </c>
      <c r="B4" s="13" t="s">
        <v>47</v>
      </c>
      <c r="C4" s="13">
        <v>2</v>
      </c>
    </row>
    <row r="5" spans="1:3" ht="21.75" customHeight="1">
      <c r="A5" s="1" t="s">
        <v>43</v>
      </c>
      <c r="B5" s="1" t="s">
        <v>48</v>
      </c>
      <c r="C5" s="1">
        <v>4</v>
      </c>
    </row>
    <row r="6" spans="1:3" ht="24.75" customHeight="1">
      <c r="A6" s="13" t="s">
        <v>44</v>
      </c>
      <c r="B6" s="13" t="s">
        <v>49</v>
      </c>
      <c r="C6" s="13">
        <v>6</v>
      </c>
    </row>
    <row r="7" spans="1:3" ht="60.75" customHeight="1">
      <c r="A7" s="113" t="s">
        <v>64</v>
      </c>
      <c r="B7" s="113"/>
      <c r="C7" s="10" t="s">
        <v>100</v>
      </c>
    </row>
    <row r="8" spans="1:3" ht="33.75">
      <c r="A8" s="231" t="s">
        <v>44</v>
      </c>
      <c r="B8" s="231"/>
      <c r="C8" s="9">
        <f>IF($A$8=$A$3,$C$3,IF($A$8=$A$4,$C$4,IF($A$8=$A$5,$C$5,$C$6)))</f>
        <v>6</v>
      </c>
    </row>
  </sheetData>
  <mergeCells count="3">
    <mergeCell ref="A1:C1"/>
    <mergeCell ref="A7:B7"/>
    <mergeCell ref="A8:B8"/>
  </mergeCells>
  <dataValidations count="1">
    <dataValidation type="list" allowBlank="1" showInputMessage="1" showErrorMessage="1" sqref="A8:B8">
      <formula1>A3:A6</formula1>
    </dataValidation>
  </dataValidations>
  <pageMargins left="0.7" right="0.7" top="0.75" bottom="0.75" header="0.3" footer="0.3"/>
  <pageSetup paperSize="9" scale="7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showGridLines="0" view="pageBreakPreview" zoomScale="60" zoomScaleNormal="115" workbookViewId="0">
      <selection sqref="A1:C7"/>
    </sheetView>
  </sheetViews>
  <sheetFormatPr defaultColWidth="9.140625" defaultRowHeight="15"/>
  <cols>
    <col min="1" max="1" width="20.140625" style="20" customWidth="1"/>
    <col min="2" max="2" width="97" style="20" customWidth="1"/>
    <col min="3" max="3" width="18.28515625" style="20" bestFit="1" customWidth="1"/>
    <col min="4" max="16384" width="9.140625" style="20"/>
  </cols>
  <sheetData>
    <row r="1" spans="1:3" ht="33">
      <c r="A1" s="232" t="s">
        <v>76</v>
      </c>
      <c r="B1" s="232"/>
      <c r="C1" s="232"/>
    </row>
    <row r="2" spans="1:3" ht="15.75">
      <c r="A2" s="15" t="s">
        <v>41</v>
      </c>
      <c r="B2" s="15" t="s">
        <v>17</v>
      </c>
      <c r="C2" s="14" t="s">
        <v>3</v>
      </c>
    </row>
    <row r="3" spans="1:3" ht="45.75" customHeight="1">
      <c r="A3" s="1" t="s">
        <v>50</v>
      </c>
      <c r="B3" s="2" t="s">
        <v>52</v>
      </c>
      <c r="C3" s="1">
        <v>0</v>
      </c>
    </row>
    <row r="4" spans="1:3" ht="44.25" customHeight="1">
      <c r="A4" s="13" t="s">
        <v>55</v>
      </c>
      <c r="B4" s="16" t="s">
        <v>53</v>
      </c>
      <c r="C4" s="13">
        <v>4</v>
      </c>
    </row>
    <row r="5" spans="1:3" ht="47.25" customHeight="1">
      <c r="A5" s="1" t="s">
        <v>51</v>
      </c>
      <c r="B5" s="2" t="s">
        <v>54</v>
      </c>
      <c r="C5" s="1">
        <v>6</v>
      </c>
    </row>
    <row r="6" spans="1:3" ht="17.25" customHeight="1">
      <c r="A6" s="241" t="s">
        <v>65</v>
      </c>
      <c r="B6" s="241"/>
      <c r="C6" s="17" t="s">
        <v>99</v>
      </c>
    </row>
    <row r="7" spans="1:3" ht="33.75">
      <c r="A7" s="231" t="s">
        <v>50</v>
      </c>
      <c r="B7" s="231"/>
      <c r="C7" s="9">
        <f>IF($A$7=$A$3,$C$3,IF($A$7=$A$4,$C$4,$C$5))</f>
        <v>0</v>
      </c>
    </row>
  </sheetData>
  <mergeCells count="3">
    <mergeCell ref="A1:C1"/>
    <mergeCell ref="A6:B6"/>
    <mergeCell ref="A7:B7"/>
  </mergeCells>
  <dataValidations count="1">
    <dataValidation type="list" allowBlank="1" showInputMessage="1" showErrorMessage="1" sqref="A7:B7">
      <formula1>A3:A5</formula1>
    </dataValidation>
  </dataValidations>
  <printOptions headings="1"/>
  <pageMargins left="0.7" right="0.7" top="0.75" bottom="0.75" header="0.3" footer="0.3"/>
  <pageSetup paperSize="9" scale="6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showGridLines="0" view="pageBreakPreview" zoomScale="60" zoomScaleNormal="100" workbookViewId="0">
      <selection activeCell="C14" sqref="C14"/>
    </sheetView>
  </sheetViews>
  <sheetFormatPr defaultRowHeight="15"/>
  <cols>
    <col min="1" max="1" width="15.42578125" customWidth="1"/>
    <col min="2" max="2" width="30.5703125" customWidth="1"/>
    <col min="3" max="3" width="61.5703125" customWidth="1"/>
    <col min="4" max="4" width="18.28515625" bestFit="1" customWidth="1"/>
  </cols>
  <sheetData>
    <row r="1" spans="1:4" ht="33">
      <c r="A1" s="232" t="s">
        <v>75</v>
      </c>
      <c r="B1" s="232"/>
      <c r="C1" s="232"/>
      <c r="D1" s="232"/>
    </row>
    <row r="2" spans="1:4" ht="15.75">
      <c r="A2" s="15" t="s">
        <v>41</v>
      </c>
      <c r="B2" s="15" t="s">
        <v>57</v>
      </c>
      <c r="C2" s="15" t="s">
        <v>60</v>
      </c>
      <c r="D2" s="14" t="s">
        <v>3</v>
      </c>
    </row>
    <row r="3" spans="1:4" ht="39" customHeight="1">
      <c r="A3" s="1">
        <v>1</v>
      </c>
      <c r="B3" s="2" t="s">
        <v>56</v>
      </c>
      <c r="C3" s="2" t="s">
        <v>61</v>
      </c>
      <c r="D3" s="1">
        <v>0</v>
      </c>
    </row>
    <row r="4" spans="1:4" ht="38.25" customHeight="1">
      <c r="A4" s="13">
        <v>2</v>
      </c>
      <c r="B4" s="16" t="s">
        <v>58</v>
      </c>
      <c r="C4" s="16" t="s">
        <v>62</v>
      </c>
      <c r="D4" s="13">
        <v>4</v>
      </c>
    </row>
    <row r="5" spans="1:4" ht="42" customHeight="1">
      <c r="A5" s="1">
        <v>3</v>
      </c>
      <c r="B5" s="2" t="s">
        <v>59</v>
      </c>
      <c r="C5" s="2" t="s">
        <v>63</v>
      </c>
      <c r="D5" s="1">
        <v>6</v>
      </c>
    </row>
    <row r="6" spans="1:4" ht="51.75" customHeight="1">
      <c r="A6" s="164" t="s">
        <v>66</v>
      </c>
      <c r="B6" s="164"/>
      <c r="C6" s="242" t="s">
        <v>96</v>
      </c>
      <c r="D6" s="243"/>
    </row>
    <row r="7" spans="1:4" ht="33.75">
      <c r="A7" s="231">
        <v>1</v>
      </c>
      <c r="B7" s="231"/>
      <c r="C7" s="233">
        <f>IF($A$7=$A$3,$D$3,IF($A$7=$A$4,$D$4,$D$5))</f>
        <v>0</v>
      </c>
      <c r="D7" s="235"/>
    </row>
  </sheetData>
  <mergeCells count="5">
    <mergeCell ref="A1:D1"/>
    <mergeCell ref="A6:B6"/>
    <mergeCell ref="A7:B7"/>
    <mergeCell ref="C7:D7"/>
    <mergeCell ref="C6:D6"/>
  </mergeCells>
  <dataValidations count="1">
    <dataValidation type="list" allowBlank="1" showInputMessage="1" showErrorMessage="1" sqref="A7:B7">
      <formula1>A3:A5</formula1>
    </dataValidation>
  </dataValidations>
  <pageMargins left="0.7" right="0.7" top="0.75" bottom="0.75" header="0.3" footer="0.3"/>
  <pageSetup paperSize="9" scale="6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"/>
  <sheetViews>
    <sheetView showGridLines="0" view="pageBreakPreview" zoomScale="60" zoomScaleNormal="115" workbookViewId="0">
      <selection sqref="A1:C6"/>
    </sheetView>
  </sheetViews>
  <sheetFormatPr defaultRowHeight="15"/>
  <cols>
    <col min="1" max="1" width="65.140625" customWidth="1"/>
    <col min="2" max="2" width="6.28515625" bestFit="1" customWidth="1"/>
    <col min="3" max="3" width="56.5703125" customWidth="1"/>
    <col min="7" max="7" width="19.42578125" customWidth="1"/>
  </cols>
  <sheetData>
    <row r="1" spans="1:7" ht="33">
      <c r="A1" s="244" t="s">
        <v>74</v>
      </c>
      <c r="B1" s="244"/>
      <c r="C1" s="244"/>
      <c r="D1" s="18"/>
      <c r="E1" s="18"/>
      <c r="F1" s="18"/>
      <c r="G1" s="18"/>
    </row>
    <row r="2" spans="1:7" ht="30">
      <c r="A2" s="21" t="s">
        <v>67</v>
      </c>
      <c r="B2" s="245" t="s">
        <v>131</v>
      </c>
      <c r="C2" s="245"/>
    </row>
    <row r="3" spans="1:7">
      <c r="A3" s="246">
        <f>SUM('Β1 ΤΥΠΟΣ ΠΛΗΡΟΤΗΤΑΣ'!C10+'B2 ΡΥΘΜΟΣ ΑΝΑΠΤΥΞΗΣ ΠΥΡΚΑΓΙΑΣ'!D8,'B3 ΠΛΗΘΟΣ ΧΡΗΣΤΩΝ'!C8+'Β4 ΚΤΙΡΙΑΚΗ ΠΟΛΥΠΛΟΚΟΤΗΤΑ'!C7+'Β5 ΜΕΤΑΔΟΣΗ ΠΥΡΚΑΓΙΑΣ'!C7)</f>
        <v>34</v>
      </c>
      <c r="B3" s="12" t="s">
        <v>68</v>
      </c>
      <c r="C3" s="12" t="s">
        <v>34</v>
      </c>
    </row>
    <row r="4" spans="1:7">
      <c r="A4" s="246"/>
      <c r="B4" s="19" t="s">
        <v>69</v>
      </c>
      <c r="C4" s="19" t="s">
        <v>35</v>
      </c>
    </row>
    <row r="5" spans="1:7">
      <c r="A5" s="246"/>
      <c r="B5" s="12" t="s">
        <v>70</v>
      </c>
      <c r="C5" s="12" t="s">
        <v>36</v>
      </c>
    </row>
    <row r="6" spans="1:7" ht="47.25" customHeight="1">
      <c r="A6" s="32" t="s">
        <v>72</v>
      </c>
      <c r="B6" s="233" t="str">
        <f>IF($A$3&lt;=14,$C$3,IF($A$3&lt;=30,$C$4,C$5))</f>
        <v>Υψηλό</v>
      </c>
      <c r="C6" s="235"/>
    </row>
  </sheetData>
  <mergeCells count="4">
    <mergeCell ref="A1:C1"/>
    <mergeCell ref="B2:C2"/>
    <mergeCell ref="A3:A5"/>
    <mergeCell ref="B6:C6"/>
  </mergeCells>
  <pageMargins left="0.7" right="0.7" top="0.75" bottom="0.75" header="0.3" footer="0.3"/>
  <pageSetup paperSize="9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showGridLines="0" view="pageBreakPreview" zoomScale="60" zoomScaleNormal="115" workbookViewId="0">
      <selection sqref="A1:B8"/>
    </sheetView>
  </sheetViews>
  <sheetFormatPr defaultRowHeight="15"/>
  <cols>
    <col min="1" max="1" width="86.28515625" bestFit="1" customWidth="1"/>
    <col min="2" max="2" width="27.28515625" customWidth="1"/>
  </cols>
  <sheetData>
    <row r="1" spans="1:2" ht="33">
      <c r="A1" s="232" t="s">
        <v>73</v>
      </c>
      <c r="B1" s="232"/>
    </row>
    <row r="2" spans="1:2" ht="15.75">
      <c r="A2" s="25" t="s">
        <v>71</v>
      </c>
      <c r="B2" s="26" t="s">
        <v>3</v>
      </c>
    </row>
    <row r="3" spans="1:2" ht="15.75" hidden="1">
      <c r="A3" s="25" t="s">
        <v>126</v>
      </c>
      <c r="B3" s="26"/>
    </row>
    <row r="4" spans="1:2" ht="21.75" customHeight="1">
      <c r="A4" s="1" t="s">
        <v>50</v>
      </c>
      <c r="B4" s="1">
        <v>0</v>
      </c>
    </row>
    <row r="5" spans="1:2" ht="24.75" customHeight="1">
      <c r="A5" s="24" t="s">
        <v>55</v>
      </c>
      <c r="B5" s="24">
        <v>6</v>
      </c>
    </row>
    <row r="6" spans="1:2" ht="17.25" customHeight="1">
      <c r="A6" s="1" t="s">
        <v>51</v>
      </c>
      <c r="B6" s="1">
        <v>12</v>
      </c>
    </row>
    <row r="7" spans="1:2" ht="18">
      <c r="A7" s="27" t="s">
        <v>81</v>
      </c>
      <c r="B7" s="27" t="s">
        <v>97</v>
      </c>
    </row>
    <row r="8" spans="1:2" ht="33.75">
      <c r="A8" s="9" t="s">
        <v>51</v>
      </c>
      <c r="B8" s="9">
        <f>IF($A$8=$A$4,$B$4,IF($A$8=$A$5,$B$5,IF($A$8=$A$3,"-",$B$6)))</f>
        <v>12</v>
      </c>
    </row>
  </sheetData>
  <mergeCells count="1">
    <mergeCell ref="A1:B1"/>
  </mergeCells>
  <dataValidations count="1">
    <dataValidation type="list" allowBlank="1" showInputMessage="1" showErrorMessage="1" sqref="A8">
      <formula1>A3:A6</formula1>
    </dataValidation>
  </dataValidations>
  <pageMargins left="0.7" right="0.7" top="0.75" bottom="0.75" header="0.3" footer="0.3"/>
  <pageSetup paperSize="9"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8"/>
  <sheetViews>
    <sheetView showGridLines="0" view="pageBreakPreview" zoomScale="60" zoomScaleNormal="130" workbookViewId="0">
      <selection sqref="A1:B8"/>
    </sheetView>
  </sheetViews>
  <sheetFormatPr defaultColWidth="9.140625" defaultRowHeight="15"/>
  <cols>
    <col min="1" max="1" width="77.28515625" style="20" bestFit="1" customWidth="1"/>
    <col min="2" max="2" width="18.28515625" style="20" bestFit="1" customWidth="1"/>
    <col min="3" max="16384" width="9.140625" style="20"/>
  </cols>
  <sheetData>
    <row r="1" spans="1:2" ht="33">
      <c r="A1" s="232" t="s">
        <v>77</v>
      </c>
      <c r="B1" s="232"/>
    </row>
    <row r="2" spans="1:2" ht="15.75">
      <c r="A2" s="25" t="s">
        <v>77</v>
      </c>
      <c r="B2" s="26" t="s">
        <v>3</v>
      </c>
    </row>
    <row r="3" spans="1:2" ht="15.75" hidden="1">
      <c r="A3" s="25" t="s">
        <v>126</v>
      </c>
      <c r="B3" s="26"/>
    </row>
    <row r="4" spans="1:2">
      <c r="A4" s="1" t="s">
        <v>78</v>
      </c>
      <c r="B4" s="1">
        <v>0</v>
      </c>
    </row>
    <row r="5" spans="1:2">
      <c r="A5" s="24" t="s">
        <v>79</v>
      </c>
      <c r="B5" s="24">
        <v>3</v>
      </c>
    </row>
    <row r="6" spans="1:2">
      <c r="A6" s="1" t="s">
        <v>80</v>
      </c>
      <c r="B6" s="1">
        <v>6</v>
      </c>
    </row>
    <row r="7" spans="1:2" ht="18">
      <c r="A7" s="28" t="s">
        <v>82</v>
      </c>
      <c r="B7" s="27" t="s">
        <v>98</v>
      </c>
    </row>
    <row r="8" spans="1:2" ht="33.75">
      <c r="A8" s="9" t="s">
        <v>80</v>
      </c>
      <c r="B8" s="9">
        <f>IF($A$8=$A$4,$B$4,IF($A$8=$A$5,$B$5,IF($A$8="-","-",$B$6)))</f>
        <v>6</v>
      </c>
    </row>
  </sheetData>
  <mergeCells count="1">
    <mergeCell ref="A1:B1"/>
  </mergeCells>
  <dataValidations count="1">
    <dataValidation type="list" allowBlank="1" showInputMessage="1" showErrorMessage="1" sqref="A8">
      <formula1>$A$3:$A$6</formula1>
    </dataValidation>
  </dataValidations>
  <pageMargins left="0.7" right="0.7" top="0.75" bottom="0.75" header="0.3" footer="0.3"/>
  <pageSetup paperSize="9" scale="9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showGridLines="0" view="pageBreakPreview" zoomScale="60" zoomScaleNormal="85" workbookViewId="0">
      <selection sqref="A1:C7"/>
    </sheetView>
  </sheetViews>
  <sheetFormatPr defaultRowHeight="15"/>
  <cols>
    <col min="1" max="1" width="59.5703125" customWidth="1"/>
    <col min="2" max="2" width="54.28515625" customWidth="1"/>
    <col min="3" max="3" width="28.85546875" bestFit="1" customWidth="1"/>
  </cols>
  <sheetData>
    <row r="1" spans="1:3" ht="33">
      <c r="A1" s="239" t="s">
        <v>84</v>
      </c>
      <c r="B1" s="239"/>
      <c r="C1" s="239"/>
    </row>
    <row r="2" spans="1:3" ht="92.25" customHeight="1">
      <c r="A2" s="21" t="s">
        <v>95</v>
      </c>
      <c r="B2" s="21" t="s">
        <v>94</v>
      </c>
      <c r="C2" s="30" t="s">
        <v>92</v>
      </c>
    </row>
    <row r="3" spans="1:3">
      <c r="A3" s="183" t="str">
        <f>IF('Γ2 ΙΣΤΟΡΙΚΟ ΣΥΜΜΟΡΦΩΣΗΣ'!B8="-",'Δ2 ΑΡΧΙΚΗ ΑΞΙΟΛΟΓΗΣΗ'!A3:A5+'Γ1 ΑΠΟΤΕΛΕΣΜΑ ΕΛΕΓΧΟΥ'!B8,"-")</f>
        <v>-</v>
      </c>
      <c r="B3" s="12" t="s">
        <v>89</v>
      </c>
      <c r="C3" s="29" t="s">
        <v>34</v>
      </c>
    </row>
    <row r="4" spans="1:3">
      <c r="A4" s="183"/>
      <c r="B4" s="19" t="s">
        <v>90</v>
      </c>
      <c r="C4" s="31" t="s">
        <v>35</v>
      </c>
    </row>
    <row r="5" spans="1:3">
      <c r="A5" s="183"/>
      <c r="B5" s="12" t="s">
        <v>91</v>
      </c>
      <c r="C5" s="29" t="s">
        <v>36</v>
      </c>
    </row>
    <row r="6" spans="1:3" hidden="1">
      <c r="A6" s="3"/>
      <c r="B6" s="4"/>
    </row>
    <row r="7" spans="1:3" ht="36" customHeight="1">
      <c r="A7" s="32" t="s">
        <v>93</v>
      </c>
      <c r="B7" s="247" t="str">
        <f>IF($A$3&lt;=19,$C$3,IF($A$3&lt;=39,$C$4,IF($A$3="-","-",C$5)))</f>
        <v>-</v>
      </c>
      <c r="C7" s="248"/>
    </row>
  </sheetData>
  <mergeCells count="3">
    <mergeCell ref="A3:A5"/>
    <mergeCell ref="B7:C7"/>
    <mergeCell ref="A1:C1"/>
  </mergeCells>
  <pageMargins left="0.7" right="0.7" top="0.75" bottom="0.75" header="0.3" footer="0.3"/>
  <pageSetup paperSize="9" scale="6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showGridLines="0" view="pageBreakPreview" zoomScale="60" zoomScaleNormal="85" workbookViewId="0">
      <selection sqref="A1:C7"/>
    </sheetView>
  </sheetViews>
  <sheetFormatPr defaultRowHeight="15"/>
  <cols>
    <col min="1" max="1" width="59.85546875" customWidth="1"/>
    <col min="2" max="2" width="67.28515625" customWidth="1"/>
    <col min="3" max="3" width="33" customWidth="1"/>
  </cols>
  <sheetData>
    <row r="1" spans="1:4" ht="34.5">
      <c r="A1" s="250" t="s">
        <v>84</v>
      </c>
      <c r="B1" s="250"/>
      <c r="C1" s="250"/>
      <c r="D1" s="20"/>
    </row>
    <row r="2" spans="1:4" ht="92.25" customHeight="1">
      <c r="A2" s="21" t="s">
        <v>83</v>
      </c>
      <c r="B2" s="21" t="s">
        <v>85</v>
      </c>
      <c r="C2" s="22" t="s">
        <v>92</v>
      </c>
    </row>
    <row r="3" spans="1:4">
      <c r="A3" s="183">
        <f>IF('Γ2 ΙΣΤΟΡΙΚΟ ΣΥΜΜΟΡΦΩΣΗΣ'!B8&lt;&gt;"-",SUM('Β1 ΤΥΠΟΣ ΠΛΗΡΟΤΗΤΑΣ'!C10+'B2 ΡΥΘΜΟΣ ΑΝΑΠΤΥΞΗΣ ΠΥΡΚΑΓΙΑΣ'!D8,'B3 ΠΛΗΘΟΣ ΧΡΗΣΤΩΝ'!C8+'Β4 ΚΤΙΡΙΑΚΗ ΠΟΛΥΠΛΟΚΟΤΗΤΑ'!C7+'Β5 ΜΕΤΑΔΟΣΗ ΠΥΡΚΑΓΙΑΣ'!C7+'Γ1 ΑΠΟΤΕΛΕΣΜΑ ΕΛΕΓΧΟΥ'!B8+'Γ2 ΙΣΤΟΡΙΚΟ ΣΥΜΜΟΡΦΩΣΗΣ'!B8),"-")</f>
        <v>52</v>
      </c>
      <c r="B3" s="12" t="s">
        <v>86</v>
      </c>
      <c r="C3" s="1" t="s">
        <v>34</v>
      </c>
    </row>
    <row r="4" spans="1:4">
      <c r="A4" s="183"/>
      <c r="B4" s="19" t="s">
        <v>87</v>
      </c>
      <c r="C4" s="23" t="s">
        <v>35</v>
      </c>
    </row>
    <row r="5" spans="1:4">
      <c r="A5" s="183"/>
      <c r="B5" s="12" t="s">
        <v>88</v>
      </c>
      <c r="C5" s="1" t="s">
        <v>36</v>
      </c>
    </row>
    <row r="6" spans="1:4" hidden="1">
      <c r="A6" s="3"/>
      <c r="B6" s="4"/>
    </row>
    <row r="7" spans="1:4" ht="36" customHeight="1">
      <c r="A7" s="33" t="s">
        <v>72</v>
      </c>
      <c r="B7" s="249" t="str">
        <f>IF(A3="-","-",IF($A$3&lt;=21,$C$3,IF($A$3&lt;=43,$C$4,$C$5)))</f>
        <v>Υψηλό</v>
      </c>
      <c r="C7" s="249"/>
    </row>
  </sheetData>
  <mergeCells count="3">
    <mergeCell ref="A3:A5"/>
    <mergeCell ref="B7:C7"/>
    <mergeCell ref="A1:C1"/>
  </mergeCells>
  <pageMargins left="0.7" right="0.7" top="0.75" bottom="0.75" header="0.3" footer="0.3"/>
  <pageSetup paperSize="9" scale="5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9"/>
  <sheetViews>
    <sheetView view="pageBreakPreview" zoomScale="60" zoomScaleNormal="85" workbookViewId="0">
      <selection activeCell="A8" sqref="A8"/>
    </sheetView>
  </sheetViews>
  <sheetFormatPr defaultColWidth="9.140625" defaultRowHeight="15"/>
  <cols>
    <col min="1" max="1" width="76.5703125" style="20" customWidth="1"/>
    <col min="2" max="2" width="15.5703125" style="20" customWidth="1"/>
    <col min="3" max="3" width="9.140625" style="20"/>
    <col min="4" max="4" width="30.85546875" style="20" customWidth="1"/>
    <col min="5" max="16384" width="9.140625" style="20"/>
  </cols>
  <sheetData>
    <row r="1" spans="1:4" ht="34.5">
      <c r="A1" s="224" t="s">
        <v>108</v>
      </c>
      <c r="B1" s="224"/>
      <c r="C1" s="224"/>
      <c r="D1" s="224"/>
    </row>
    <row r="2" spans="1:4">
      <c r="A2" s="34" t="s">
        <v>128</v>
      </c>
      <c r="B2" s="169" t="s">
        <v>103</v>
      </c>
      <c r="C2" s="170"/>
      <c r="D2" s="171"/>
    </row>
    <row r="3" spans="1:4">
      <c r="A3" s="1" t="s">
        <v>34</v>
      </c>
      <c r="B3" s="225" t="s">
        <v>104</v>
      </c>
      <c r="C3" s="226"/>
      <c r="D3" s="227"/>
    </row>
    <row r="4" spans="1:4">
      <c r="A4" s="35" t="s">
        <v>35</v>
      </c>
      <c r="B4" s="228" t="s">
        <v>105</v>
      </c>
      <c r="C4" s="229"/>
      <c r="D4" s="230"/>
    </row>
    <row r="5" spans="1:4">
      <c r="A5" s="1" t="s">
        <v>36</v>
      </c>
      <c r="B5" s="225" t="s">
        <v>106</v>
      </c>
      <c r="C5" s="226"/>
      <c r="D5" s="227"/>
    </row>
    <row r="6" spans="1:4" ht="15.75">
      <c r="A6" s="166" t="s">
        <v>107</v>
      </c>
      <c r="B6" s="166"/>
      <c r="C6" s="166"/>
      <c r="D6" s="166"/>
    </row>
    <row r="7" spans="1:4" ht="54" customHeight="1">
      <c r="A7" s="39" t="s">
        <v>130</v>
      </c>
      <c r="B7" s="218" t="s">
        <v>103</v>
      </c>
      <c r="C7" s="219"/>
      <c r="D7" s="220"/>
    </row>
    <row r="8" spans="1:4" ht="88.5" customHeight="1">
      <c r="A8" s="36" t="str">
        <f>IF('Δ3 ΤΕΛΙΚΟ ΕΠΙΠΕΔΟ ΧΩΡΙΣ ΙΣΤΟΡΙΚ'!A3&lt;&gt;"-",'Δ3 ΤΕΛΙΚΟ ΕΠΙΠΕΔΟ ΧΩΡΙΣ ΙΣΤΟΡΙΚ'!B7,'Δ3 ΤΕΛΙΚΟ ΕΠΙΠΕΔΟ ΜΕ ΙΣΤΟΡΙΚΟ'!B7)</f>
        <v>Υψηλό</v>
      </c>
      <c r="B8" s="251" t="str">
        <f>IF(A8=A3,B3,IF(A8=A4,B4,B5))</f>
        <v>Κάθε 12 μήνες</v>
      </c>
      <c r="C8" s="252"/>
      <c r="D8" s="253"/>
    </row>
    <row r="9" spans="1:4">
      <c r="A9" s="20" t="s">
        <v>133</v>
      </c>
    </row>
  </sheetData>
  <mergeCells count="8">
    <mergeCell ref="B8:D8"/>
    <mergeCell ref="B7:D7"/>
    <mergeCell ref="B3:D3"/>
    <mergeCell ref="A6:D6"/>
    <mergeCell ref="A1:D1"/>
    <mergeCell ref="B2:D2"/>
    <mergeCell ref="B4:D4"/>
    <mergeCell ref="B5:D5"/>
  </mergeCells>
  <dataValidations count="1">
    <dataValidation type="list" allowBlank="1" showInputMessage="1" showErrorMessage="1" sqref="A3:A5">
      <formula1>$A$3:$A$5</formula1>
    </dataValidation>
  </dataValidations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14</vt:i4>
      </vt:variant>
      <vt:variant>
        <vt:lpstr>Περιοχές με ονόματα</vt:lpstr>
      </vt:variant>
      <vt:variant>
        <vt:i4>7</vt:i4>
      </vt:variant>
    </vt:vector>
  </HeadingPairs>
  <TitlesOfParts>
    <vt:vector size="21" baseType="lpstr">
      <vt:lpstr>ΣΤΟΙΧΕΙΑ ΕΠΙΧΕΙΡΗΣΗΣ</vt:lpstr>
      <vt:lpstr>Συχνότητα Ελέγχων Αρχικής Αξιολ</vt:lpstr>
      <vt:lpstr>Β1 ΤΥΠΟΣ ΠΛΗΡΟΤΗΤΑΣ</vt:lpstr>
      <vt:lpstr>B2 ΡΥΘΜΟΣ ΑΝΑΠΤΥΞΗΣ ΠΥΡΚΑΓΙΑΣ</vt:lpstr>
      <vt:lpstr>Δ1 ΕΓΓΕΝΗΣ ΑΞΙΟΛΟΓΗΣΗ</vt:lpstr>
      <vt:lpstr>B3 ΠΛΗΘΟΣ ΧΡΗΣΤΩΝ</vt:lpstr>
      <vt:lpstr>Β4 ΚΤΙΡΙΑΚΗ ΠΟΛΥΠΛΟΚΟΤΗΤΑ</vt:lpstr>
      <vt:lpstr>Β5 ΜΕΤΑΔΟΣΗ ΠΥΡΚΑΓΙΑΣ</vt:lpstr>
      <vt:lpstr>Δ2 ΑΡΧΙΚΗ ΑΞΙΟΛΟΓΗΣΗ</vt:lpstr>
      <vt:lpstr>Γ1 ΑΠΟΤΕΛΕΣΜΑ ΕΛΕΓΧΟΥ</vt:lpstr>
      <vt:lpstr>Γ2 ΙΣΤΟΡΙΚΟ ΣΥΜΜΟΡΦΩΣΗΣ</vt:lpstr>
      <vt:lpstr>Δ3 ΤΕΛΙΚΟ ΕΠΙΠΕΔΟ ΧΩΡΙΣ ΙΣΤΟΡΙΚ</vt:lpstr>
      <vt:lpstr>Δ3 ΤΕΛΙΚΟ ΕΠΙΠΕΔΟ ΜΕ ΙΣΤΟΡΙΚΟ</vt:lpstr>
      <vt:lpstr>Συχνότητα Ελέγχων Τελικής Αξιολ</vt:lpstr>
      <vt:lpstr>APOT_ELEG</vt:lpstr>
      <vt:lpstr>APOTELEG</vt:lpstr>
      <vt:lpstr>ASS</vt:lpstr>
      <vt:lpstr>ISTORIKO_SYM</vt:lpstr>
      <vt:lpstr>ktiriaki_pol</vt:lpstr>
      <vt:lpstr>metadosi</vt:lpstr>
      <vt:lpstr>PLITHOS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ΒΑΣΙΛΕΙΟΣ ΣΩΤΗΡΙΟΥ</dc:creator>
  <cp:lastModifiedBy>John-NUC</cp:lastModifiedBy>
  <cp:lastPrinted>2026-03-12T12:28:04Z</cp:lastPrinted>
  <dcterms:created xsi:type="dcterms:W3CDTF">2024-12-02T15:44:15Z</dcterms:created>
  <dcterms:modified xsi:type="dcterms:W3CDTF">2026-03-12T12:32:17Z</dcterms:modified>
</cp:coreProperties>
</file>